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4088f4f8a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31617882937f4688"/>
    <x:sheet xmlns:r="http://schemas.openxmlformats.org/officeDocument/2006/relationships" name="今日の改善" sheetId="2" r:id="R507b5793db6d460b"/>
    <x:sheet xmlns:r="http://schemas.openxmlformats.org/officeDocument/2006/relationships" name="改善中" sheetId="3" r:id="R1d529b5efb754da0"/>
    <x:sheet xmlns:r="http://schemas.openxmlformats.org/officeDocument/2006/relationships" name="ブログ診断" sheetId="4" r:id="R44c4095800284bf1"/>
    <x:sheet xmlns:r="http://schemas.openxmlformats.org/officeDocument/2006/relationships" name="処理ログ" sheetId="5" r:id="R01d3a14df5bd4f89"/>
    <x:sheet xmlns:r="http://schemas.openxmlformats.org/officeDocument/2006/relationships" name="設定" sheetId="6" r:id="R8a8f451ebfc445f3"/>
    <x:sheet xmlns:r="http://schemas.openxmlformats.org/officeDocument/2006/relationships" name="SearchConsole_Data" sheetId="7" r:id="Rb34e9934355a4315"/>
    <x:sheet xmlns:r="http://schemas.openxmlformats.org/officeDocument/2006/relationships" name="Improvement_Queue" sheetId="8" r:id="R13c9e3a0d85c45d7"/>
    <x:sheet xmlns:r="http://schemas.openxmlformats.org/officeDocument/2006/relationships" name="Improvement_Log" sheetId="9" r:id="R141d70c6b3d6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9d44f42a849b1" /><Relationship Type="http://schemas.openxmlformats.org/officeDocument/2006/relationships/theme" Target="/xl/theme/theme1.xml" Id="R89224f7bdcf74e2d" /><Relationship Type="http://schemas.openxmlformats.org/officeDocument/2006/relationships/sharedStrings" Target="/xl/sharedStrings.xml" Id="R99669cd46eac4507" /><Relationship Type="http://schemas.openxmlformats.org/officeDocument/2006/relationships/worksheet" Target="/xl/worksheets/sheet1.xml" Id="R31617882937f4688" /><Relationship Type="http://schemas.openxmlformats.org/officeDocument/2006/relationships/worksheet" Target="/xl/worksheets/sheet2.xml" Id="R507b5793db6d460b" /><Relationship Type="http://schemas.openxmlformats.org/officeDocument/2006/relationships/worksheet" Target="/xl/worksheets/sheet3.xml" Id="R1d529b5efb754da0" /><Relationship Type="http://schemas.openxmlformats.org/officeDocument/2006/relationships/worksheet" Target="/xl/worksheets/sheet4.xml" Id="R44c4095800284bf1" /><Relationship Type="http://schemas.openxmlformats.org/officeDocument/2006/relationships/worksheet" Target="/xl/worksheets/sheet5.xml" Id="R01d3a14df5bd4f89" /><Relationship Type="http://schemas.openxmlformats.org/officeDocument/2006/relationships/worksheet" Target="/xl/worksheets/sheet6.xml" Id="R8a8f451ebfc445f3" /><Relationship Type="http://schemas.openxmlformats.org/officeDocument/2006/relationships/worksheet" Target="/xl/worksheets/sheet7.xml" Id="Rb34e9934355a4315" /><Relationship Type="http://schemas.openxmlformats.org/officeDocument/2006/relationships/worksheet" Target="/xl/worksheets/sheet8.xml" Id="R13c9e3a0d85c45d7" /><Relationship Type="http://schemas.openxmlformats.org/officeDocument/2006/relationships/worksheet" Target="/xl/worksheets/sheet9.xml" Id="R141d70c6b3d64f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SIMS-Blog-Manager Product 5.2.10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3">
      <x:c r="A3" s="13" t="str">
        <x:v>ブログ全体の状況</x:v>
      </x:c>
      <x:c r="B3" s="13" t="str">
        <x:v>件数</x:v>
      </x:c>
      <x:c r="C3" s="13" t="str">
        <x:v>確認先</x:v>
      </x:c>
      <x:c r="E3" s="13" t="str">
        <x:v>今日やること</x:v>
      </x:c>
    </x:row>
    <x:row r="4">
      <x:c r="A4" t="str">
        <x:v>良好記事数</x:v>
      </x:c>
      <x:c r="B4" t="n">
        <x:f>COUNTIF('改善中'!E2:E200,"良好")+COUNTIF('Improvement_Log'!H2:H500,"良好")</x:f>
        <x:v>0</x:v>
      </x:c>
      <x:c r="C4" t="str">
        <x:v>ブログ診断</x:v>
      </x:c>
      <x:c r="E4" s="20" t="str">
        <x:v>優先</x:v>
      </x:c>
      <x:c r="F4" s="20" t="str">
        <x:v>URL</x:v>
      </x:c>
      <x:c r="G4" s="20" t="str">
        <x:v>メインKW</x:v>
      </x:c>
      <x:c r="H4" s="20" t="str">
        <x:v>状態</x:v>
      </x:c>
    </x:row>
    <x:row r="5">
      <x:c r="A5" t="str">
        <x:v>改善中記事数</x:v>
      </x:c>
      <x:c r="B5" t="n">
        <x:f>COUNTA('改善中'!A2:A200)</x:f>
        <x:v>0</x:v>
      </x:c>
      <x:c r="C5" t="str">
        <x:v>改善中</x:v>
      </x:c>
      <x:c r="E5" t="str">
        <x:v>1</x:v>
      </x:c>
      <x:c r="F5" t="str">
        <x:f>IFERROR('今日の改善'!B2,"")</x:f>
      </x:c>
      <x:c r="G5" t="str">
        <x:f>IFERROR('今日の改善'!C2,"")</x:f>
      </x:c>
      <x:c r="H5" t="str">
        <x:f>IFERROR('今日の改善'!F2,"")</x:f>
        <x:v>未着手</x:v>
      </x:c>
    </x:row>
    <x:row r="6">
      <x:c r="A6" t="str">
        <x:v>改善候補数</x:v>
      </x:c>
      <x:c r="B6" t="n">
        <x:f>COUNTA('Improvement_Queue'!A2:A500)</x:f>
        <x:v>0</x:v>
      </x:c>
      <x:c r="C6" t="str">
        <x:v>Improvement_Queue</x:v>
      </x:c>
      <x:c r="E6" t="str">
        <x:v>2</x:v>
      </x:c>
      <x:c r="F6" t="str">
        <x:f>IFERROR('今日の改善'!B3,"")</x:f>
      </x:c>
      <x:c r="G6" t="str">
        <x:f>IFERROR('今日の改善'!C3,"")</x:f>
      </x:c>
      <x:c r="H6" t="str">
        <x:f>IFERROR('今日の改善'!F3,"")</x:f>
        <x:v>未着手</x:v>
      </x:c>
    </x:row>
    <x:row r="7">
      <x:c r="E7" t="str">
        <x:v>3</x:v>
      </x:c>
      <x:c r="F7" t="str">
        <x:f>IFERROR('今日の改善'!B4,"")</x:f>
      </x:c>
      <x:c r="G7" t="str">
        <x:f>IFERROR('今日の改善'!C4,"")</x:f>
      </x:c>
      <x:c r="H7" t="str">
        <x:f>IFERROR('今日の改善'!F4,"")</x:f>
        <x:v>未着手</x:v>
      </x:c>
    </x:row>
    <x:row r="8">
      <x:c r="A8" s="13" t="str">
        <x:v>改善作業の状況</x:v>
      </x:c>
      <x:c r="B8" s="13" t="str">
        <x:v>内容</x:v>
      </x:c>
      <x:c r="C8" s="13" t="str">
        <x:v>備考</x:v>
      </x:c>
      <x:c r="E8" t="str">
        <x:v>4</x:v>
      </x:c>
      <x:c r="F8" t="str">
        <x:f>IFERROR('今日の改善'!B5,"")</x:f>
      </x:c>
      <x:c r="G8" t="str">
        <x:f>IFERROR('今日の改善'!C5,"")</x:f>
      </x:c>
      <x:c r="H8" t="str">
        <x:f>IFERROR('今日の改善'!F5,"")</x:f>
        <x:v>未着手</x:v>
      </x:c>
    </x:row>
    <x:row r="9">
      <x:c r="A9" t="str">
        <x:v>最終取得</x:v>
      </x:c>
      <x:c r="B9" t="n">
        <x:f>IFERROR(MAX('処理ログ'!A2:A200),"未実行")</x:f>
        <x:v>0</x:v>
      </x:c>
      <x:c r="C9" t="str">
        <x:v>Search Console</x:v>
      </x:c>
    </x:row>
    <x:row r="10">
      <x:c r="A10" t="str">
        <x:v>今日の改善残数</x:v>
      </x:c>
      <x:c r="B10" t="n">
        <x:v>2</x:v>
      </x:c>
      <x:c r="C10" t="str">
        <x:v>初期2件・最大6件</x:v>
      </x:c>
    </x:row>
    <x:row r="11">
      <x:c r="A11" t="str">
        <x:v>測定対象</x:v>
      </x:c>
      <x:c r="B11" t="n">
        <x:v>0</x:v>
      </x:c>
      <x:c r="C11" t="str">
        <x:v>7日・14日・21日・28日</x:v>
      </x:c>
    </x:row>
    <x:row r="12">
      <x:c r="A12" t="str">
        <x:v>最終ログ</x:v>
      </x:c>
      <x:c r="B12" t="str">
        <x:f>IFERROR(INDEX('処理ログ'!B2:B200,COUNTA('処理ログ'!B2:B200)),"なし")</x:f>
      </x:c>
      <x:c r="C12" t="str"/>
    </x:row>
  </x:sheetData>
  <x:mergeCells>
    <x:mergeCell ref="A1:H1"/>
    <x:mergeCell ref="E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優先度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改善方針</x:v>
      </x:c>
      <x:c r="F1" s="40" t="str">
        <x:v>状態</x:v>
      </x:c>
      <x:c r="G1" s="40" t="str">
        <x:v>改善完了</x:v>
      </x:c>
      <x:c r="H1" s="40" t="str">
        <x:v>更新日</x:v>
      </x:c>
      <x:c r="I1" s="35"/>
      <x:c r="J1" s="35"/>
      <x:c r="K1" s="35"/>
    </x:row>
    <x:row r="2">
      <x:c r="A2" t="n">
        <x:v>1</x:v>
      </x:c>
      <x:c r="B2" t="str"/>
      <x:c r="C2" t="str"/>
      <x:c r="D2" t="str"/>
      <x:c r="E2" t="str"/>
      <x:c r="F2" t="str">
        <x:v>未着手</x:v>
      </x:c>
      <x:c r="G2" t="str"/>
      <x:c r="H2" t="str"/>
    </x:row>
    <x:row r="3">
      <x:c r="A3" t="n">
        <x:v>2</x:v>
      </x:c>
      <x:c r="B3" t="str"/>
      <x:c r="C3" t="str"/>
      <x:c r="D3" t="str"/>
      <x:c r="E3" t="str"/>
      <x:c r="F3" t="str">
        <x:v>未着手</x:v>
      </x:c>
      <x:c r="G3" t="str"/>
      <x:c r="H3" t="str"/>
    </x:row>
    <x:row r="4">
      <x:c r="A4" t="n">
        <x:v>3</x:v>
      </x:c>
      <x:c r="B4" t="str"/>
      <x:c r="C4" t="str"/>
      <x:c r="D4" t="str"/>
      <x:c r="E4" t="str"/>
      <x:c r="F4" t="str">
        <x:v>未着手</x:v>
      </x:c>
      <x:c r="G4" t="str"/>
      <x:c r="H4" t="str"/>
    </x:row>
    <x:row r="5">
      <x:c r="A5" t="n">
        <x:v>4</x:v>
      </x:c>
      <x:c r="B5" t="str"/>
      <x:c r="C5" t="str"/>
      <x:c r="D5" t="str"/>
      <x:c r="E5" t="str"/>
      <x:c r="F5" t="str">
        <x:v>未着手</x:v>
      </x:c>
      <x:c r="G5" t="str"/>
      <x:c r="H5" t="str"/>
    </x:row>
    <x:row r="6">
      <x:c r="A6" t="n">
        <x:v>5</x:v>
      </x:c>
      <x:c r="B6" t="str"/>
      <x:c r="C6" t="str"/>
      <x:c r="D6" t="str"/>
      <x:c r="E6" t="str"/>
      <x:c r="F6" t="str">
        <x:v>未着手</x:v>
      </x:c>
      <x:c r="G6" t="str"/>
      <x:c r="H6" t="str"/>
    </x:row>
  </x:sheetData>
  <x:dataValidations count="1">
    <x:dataValidation type="list" sqref="F2:G6">
      <x:formula1>"未着手,改善完了"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状態</x:v>
      </x:c>
      <x:c r="F1" s="40" t="str">
        <x:v>次回測定日</x:v>
      </x:c>
      <x:c r="G1" s="40" t="str">
        <x:v>測定終了日</x:v>
      </x:c>
      <x:c r="H1" s="40" t="str">
        <x:v>経過週</x:v>
      </x:c>
      <x:c r="I1" s="40" t="str">
        <x:v>メモ</x:v>
      </x:c>
      <x:c r="J1" s="35"/>
      <x:c r="K1" s="35"/>
    </x:row>
    <x:row r="2">
      <x:c r="A2" s="24"/>
      <x:c r="B2" s="24"/>
      <x:c r="C2" s="24"/>
      <x:c r="D2" s="26"/>
      <x:c r="E2" s="26"/>
      <x:c r="F2" s="26" t="str">
        <x:f>IF(D2="","",D2+7)</x:f>
      </x:c>
      <x:c r="G2" s="26" t="str">
        <x:f>IF(D2="","",EDATE(D2,2))</x:f>
      </x:c>
      <x:c r="H2" s="24" t="str">
        <x:f>IF(D2="","",INT((TODAY()-D2)/7))</x:f>
      </x:c>
      <x:c r="I2" s="24"/>
    </x:row>
    <x:row r="3">
      <x:c r="A3" s="24"/>
      <x:c r="B3" s="24"/>
      <x:c r="C3" s="24"/>
      <x:c r="D3" s="26"/>
      <x:c r="E3" s="26"/>
      <x:c r="F3" s="26" t="str">
        <x:f>IF(D3="","",D3+7)</x:f>
      </x:c>
      <x:c r="G3" s="26" t="str">
        <x:f>IF(D3="","",EDATE(D3,2))</x:f>
      </x:c>
      <x:c r="H3" s="24" t="str">
        <x:f>IF(D3="","",INT((TODAY()-D3)/7))</x:f>
      </x:c>
      <x:c r="I3" s="24"/>
    </x:row>
    <x:row r="4">
      <x:c r="A4" s="24"/>
      <x:c r="B4" s="24"/>
      <x:c r="C4" s="24"/>
      <x:c r="D4" s="26"/>
      <x:c r="E4" s="26"/>
      <x:c r="F4" s="26" t="str">
        <x:f>IF(D4="","",D4+7)</x:f>
      </x:c>
      <x:c r="G4" s="26" t="str">
        <x:f>IF(D4="","",EDATE(D4,2))</x:f>
      </x:c>
      <x:c r="H4" s="24" t="str">
        <x:f>IF(D4="","",INT((TODAY()-D4)/7))</x:f>
      </x:c>
      <x:c r="I4" s="24"/>
    </x:row>
    <x:row r="5">
      <x:c r="A5" s="24"/>
      <x:c r="B5" s="24"/>
      <x:c r="C5" s="24"/>
      <x:c r="D5" s="26"/>
      <x:c r="E5" s="26"/>
      <x:c r="F5" s="26" t="str">
        <x:f>IF(D5="","",D5+7)</x:f>
      </x:c>
      <x:c r="G5" s="26" t="str">
        <x:f>IF(D5="","",EDATE(D5,2))</x:f>
      </x:c>
      <x:c r="H5" s="24" t="str">
        <x:f>IF(D5="","",INT((TODAY()-D5)/7))</x:f>
      </x:c>
      <x:c r="I5" s="24"/>
    </x:row>
    <x:row r="6">
      <x:c r="A6" s="24"/>
      <x:c r="B6" s="24"/>
      <x:c r="C6" s="24"/>
      <x:c r="D6" s="26"/>
      <x:c r="E6" s="26"/>
      <x:c r="F6" s="26" t="str">
        <x:f>IF(D6="","",D6+7)</x:f>
      </x:c>
      <x:c r="G6" s="26" t="str">
        <x:f>IF(D6="","",EDATE(D6,2))</x:f>
      </x:c>
      <x:c r="H6" s="24" t="str">
        <x:f>IF(D6="","",INT((TODAY()-D6)/7))</x:f>
      </x:c>
      <x:c r="I6" s="24"/>
    </x:row>
    <x:row r="7">
      <x:c r="A7" s="24"/>
      <x:c r="B7" s="24"/>
      <x:c r="C7" s="24"/>
      <x:c r="D7" s="26"/>
      <x:c r="E7" s="26"/>
      <x:c r="F7" s="26" t="str">
        <x:f>IF(D7="","",D7+7)</x:f>
      </x:c>
      <x:c r="G7" s="26" t="str">
        <x:f>IF(D7="","",EDATE(D7,2))</x:f>
      </x:c>
      <x:c r="H7" s="24" t="str">
        <x:f>IF(D7="","",INT((TODAY()-D7)/7))</x:f>
      </x:c>
      <x:c r="I7" s="24"/>
    </x:row>
    <x:row r="8">
      <x:c r="A8" s="24"/>
      <x:c r="B8" s="24"/>
      <x:c r="C8" s="24"/>
      <x:c r="D8" s="26"/>
      <x:c r="E8" s="26"/>
      <x:c r="F8" s="26" t="str">
        <x:f>IF(D8="","",D8+7)</x:f>
      </x:c>
      <x:c r="G8" s="26" t="str">
        <x:f>IF(D8="","",EDATE(D8,2))</x:f>
      </x:c>
      <x:c r="H8" s="24" t="str">
        <x:f>IF(D8="","",INT((TODAY()-D8)/7))</x:f>
      </x:c>
      <x:c r="I8" s="24"/>
    </x:row>
    <x:row r="9">
      <x:c r="A9" s="24"/>
      <x:c r="B9" s="24"/>
      <x:c r="C9" s="24"/>
      <x:c r="D9" s="26"/>
      <x:c r="E9" s="26"/>
      <x:c r="F9" s="26" t="str">
        <x:f>IF(D9="","",D9+7)</x:f>
      </x:c>
      <x:c r="G9" s="26" t="str">
        <x:f>IF(D9="","",EDATE(D9,2))</x:f>
      </x:c>
      <x:c r="H9" s="24" t="str">
        <x:f>IF(D9="","",INT((TODAY()-D9)/7))</x:f>
      </x:c>
      <x:c r="I9" s="24"/>
    </x:row>
    <x:row r="10">
      <x:c r="A10" s="24"/>
      <x:c r="B10" s="24"/>
      <x:c r="C10" s="24"/>
      <x:c r="D10" s="26"/>
      <x:c r="E10" s="26"/>
      <x:c r="F10" s="26" t="str">
        <x:f>IF(D10="","",D10+7)</x:f>
      </x:c>
      <x:c r="G10" s="26" t="str">
        <x:f>IF(D10="","",EDATE(D10,2))</x:f>
      </x:c>
      <x:c r="H10" s="24" t="str">
        <x:f>IF(D10="","",INT((TODAY()-D10)/7))</x:f>
      </x:c>
      <x:c r="I10" s="24"/>
    </x:row>
    <x:row r="11">
      <x:c r="A11" s="24"/>
      <x:c r="B11" s="24"/>
      <x:c r="C11" s="24"/>
      <x:c r="D11" s="26"/>
      <x:c r="E11" s="26"/>
      <x:c r="F11" s="26" t="str">
        <x:f>IF(D11="","",D11+7)</x:f>
      </x:c>
      <x:c r="G11" s="26" t="str">
        <x:f>IF(D11="","",EDATE(D11,2))</x:f>
      </x:c>
      <x:c r="H11" s="24" t="str">
        <x:f>IF(D11="","",INT((TODAY()-D11)/7))</x:f>
      </x:c>
      <x:c r="I11" s="24"/>
    </x:row>
    <x:row r="12">
      <x:c r="A12" s="24"/>
      <x:c r="B12" s="24"/>
      <x:c r="C12" s="24"/>
      <x:c r="D12" s="26"/>
      <x:c r="E12" s="26"/>
      <x:c r="F12" s="26" t="str">
        <x:f>IF(D12="","",D12+7)</x:f>
      </x:c>
      <x:c r="G12" s="26" t="str">
        <x:f>IF(D12="","",EDATE(D12,2))</x:f>
      </x:c>
      <x:c r="H12" s="24" t="str">
        <x:f>IF(D12="","",INT((TODAY()-D12)/7))</x:f>
      </x:c>
      <x:c r="I12" s="24"/>
    </x:row>
    <x:row r="13">
      <x:c r="A13" s="24"/>
      <x:c r="B13" s="24"/>
      <x:c r="C13" s="24"/>
      <x:c r="D13" s="26"/>
      <x:c r="E13" s="26"/>
      <x:c r="F13" s="26" t="str">
        <x:f>IF(D13="","",D13+7)</x:f>
      </x:c>
      <x:c r="G13" s="26" t="str">
        <x:f>IF(D13="","",EDATE(D13,2))</x:f>
      </x:c>
      <x:c r="H13" s="24" t="str">
        <x:f>IF(D13="","",INT((TODAY()-D13)/7))</x:f>
      </x:c>
      <x:c r="I13" s="24"/>
    </x:row>
    <x:row r="14">
      <x:c r="A14" s="24"/>
      <x:c r="B14" s="24"/>
      <x:c r="C14" s="24"/>
      <x:c r="D14" s="26"/>
      <x:c r="E14" s="26"/>
      <x:c r="F14" s="26" t="str">
        <x:f>IF(D14="","",D14+7)</x:f>
      </x:c>
      <x:c r="G14" s="26" t="str">
        <x:f>IF(D14="","",EDATE(D14,2))</x:f>
      </x:c>
      <x:c r="H14" s="24" t="str">
        <x:f>IF(D14="","",INT((TODAY()-D14)/7))</x:f>
      </x:c>
      <x:c r="I14" s="24"/>
    </x:row>
    <x:row r="15">
      <x:c r="A15" s="24"/>
      <x:c r="B15" s="24"/>
      <x:c r="C15" s="24"/>
      <x:c r="D15" s="26"/>
      <x:c r="E15" s="26"/>
      <x:c r="F15" s="26" t="str">
        <x:f>IF(D15="","",D15+7)</x:f>
      </x:c>
      <x:c r="G15" s="26" t="str">
        <x:f>IF(D15="","",EDATE(D15,2))</x:f>
      </x:c>
      <x:c r="H15" s="24" t="str">
        <x:f>IF(D15="","",INT((TODAY()-D15)/7))</x:f>
      </x:c>
      <x:c r="I15" s="24"/>
    </x:row>
    <x:row r="16">
      <x:c r="A16" s="24"/>
      <x:c r="B16" s="24"/>
      <x:c r="C16" s="24"/>
      <x:c r="D16" s="26"/>
      <x:c r="E16" s="26"/>
      <x:c r="F16" s="26" t="str">
        <x:f>IF(D16="","",D16+7)</x:f>
      </x:c>
      <x:c r="G16" s="26" t="str">
        <x:f>IF(D16="","",EDATE(D16,2))</x:f>
      </x:c>
      <x:c r="H16" s="24" t="str">
        <x:f>IF(D16="","",INT((TODAY()-D16)/7))</x:f>
      </x:c>
      <x:c r="I16" s="24"/>
    </x:row>
    <x:row r="17">
      <x:c r="A17" s="24"/>
      <x:c r="B17" s="24"/>
      <x:c r="C17" s="24"/>
      <x:c r="D17" s="26"/>
      <x:c r="E17" s="26"/>
      <x:c r="F17" s="26" t="str">
        <x:f>IF(D17="","",D17+7)</x:f>
      </x:c>
      <x:c r="G17" s="26" t="str">
        <x:f>IF(D17="","",EDATE(D17,2))</x:f>
      </x:c>
      <x:c r="H17" s="24" t="str">
        <x:f>IF(D17="","",INT((TODAY()-D17)/7))</x:f>
      </x:c>
      <x:c r="I17" s="24"/>
    </x:row>
    <x:row r="18">
      <x:c r="A18" s="24"/>
      <x:c r="B18" s="24"/>
      <x:c r="C18" s="24"/>
      <x:c r="D18" s="26"/>
      <x:c r="E18" s="26"/>
      <x:c r="F18" s="26" t="str">
        <x:f>IF(D18="","",D18+7)</x:f>
      </x:c>
      <x:c r="G18" s="26" t="str">
        <x:f>IF(D18="","",EDATE(D18,2))</x:f>
      </x:c>
      <x:c r="H18" s="24" t="str">
        <x:f>IF(D18="","",INT((TODAY()-D18)/7))</x:f>
      </x:c>
      <x:c r="I18" s="24"/>
    </x:row>
    <x:row r="19">
      <x:c r="A19" s="24"/>
      <x:c r="B19" s="24"/>
      <x:c r="C19" s="24"/>
      <x:c r="D19" s="26"/>
      <x:c r="E19" s="26"/>
      <x:c r="F19" s="26" t="str">
        <x:f>IF(D19="","",D19+7)</x:f>
      </x:c>
      <x:c r="G19" s="26" t="str">
        <x:f>IF(D19="","",EDATE(D19,2))</x:f>
      </x:c>
      <x:c r="H19" s="24" t="str">
        <x:f>IF(D19="","",INT((TODAY()-D19)/7))</x:f>
      </x:c>
      <x:c r="I19" s="24"/>
    </x:row>
    <x:row r="20">
      <x:c r="A20" s="24"/>
      <x:c r="B20" s="24"/>
      <x:c r="C20" s="24"/>
      <x:c r="D20" s="26"/>
      <x:c r="E20" s="26"/>
      <x:c r="F20" s="26" t="str">
        <x:f>IF(D20="","",D20+7)</x:f>
      </x:c>
      <x:c r="G20" s="26" t="str">
        <x:f>IF(D20="","",EDATE(D20,2))</x:f>
      </x:c>
      <x:c r="H20" s="24" t="str">
        <x:f>IF(D20="","",INT((TODAY()-D20)/7))</x:f>
      </x:c>
      <x:c r="I20" s="24"/>
    </x:row>
    <x:row r="21">
      <x:c r="A21" s="24"/>
      <x:c r="B21" s="24"/>
      <x:c r="C21" s="24"/>
      <x:c r="D21" s="26"/>
      <x:c r="E21" s="26"/>
      <x:c r="F21" s="26" t="str">
        <x:f>IF(D21="","",D21+7)</x:f>
      </x:c>
      <x:c r="G21" s="26" t="str">
        <x:f>IF(D21="","",EDATE(D21,2))</x:f>
      </x:c>
      <x:c r="H21" s="24" t="str">
        <x:f>IF(D21="","",INT((TODAY()-D21)/7))</x:f>
      </x:c>
      <x:c r="I21" s="24"/>
    </x:row>
    <x:row r="22">
      <x:c r="A22" s="24"/>
      <x:c r="B22" s="24"/>
      <x:c r="C22" s="24"/>
      <x:c r="D22" s="26"/>
      <x:c r="E22" s="26"/>
      <x:c r="F22" s="26" t="str">
        <x:f>IF(D22="","",D22+7)</x:f>
      </x:c>
      <x:c r="G22" s="26" t="str">
        <x:f>IF(D22="","",EDATE(D22,2))</x:f>
      </x:c>
      <x:c r="H22" s="24" t="str">
        <x:f>IF(D22="","",INT((TODAY()-D22)/7))</x:f>
      </x:c>
      <x:c r="I22" s="24"/>
    </x:row>
    <x:row r="23">
      <x:c r="A23" s="24"/>
      <x:c r="B23" s="24"/>
      <x:c r="C23" s="24"/>
      <x:c r="D23" s="26"/>
      <x:c r="E23" s="26"/>
      <x:c r="F23" s="26" t="str">
        <x:f>IF(D23="","",D23+7)</x:f>
      </x:c>
      <x:c r="G23" s="26" t="str">
        <x:f>IF(D23="","",EDATE(D23,2))</x:f>
      </x:c>
      <x:c r="H23" s="24" t="str">
        <x:f>IF(D23="","",INT((TODAY()-D23)/7))</x:f>
      </x:c>
      <x:c r="I23" s="24"/>
    </x:row>
    <x:row r="24">
      <x:c r="A24" s="24"/>
      <x:c r="B24" s="24"/>
      <x:c r="C24" s="24"/>
      <x:c r="D24" s="26"/>
      <x:c r="E24" s="26"/>
      <x:c r="F24" s="26" t="str">
        <x:f>IF(D24="","",D24+7)</x:f>
      </x:c>
      <x:c r="G24" s="26" t="str">
        <x:f>IF(D24="","",EDATE(D24,2))</x:f>
      </x:c>
      <x:c r="H24" s="24" t="str">
        <x:f>IF(D24="","",INT((TODAY()-D24)/7))</x:f>
      </x:c>
      <x:c r="I24" s="24"/>
    </x:row>
    <x:row r="25">
      <x:c r="A25" s="24"/>
      <x:c r="B25" s="24"/>
      <x:c r="C25" s="24"/>
      <x:c r="D25" s="26"/>
      <x:c r="E25" s="26"/>
      <x:c r="F25" s="26" t="str">
        <x:f>IF(D25="","",D25+7)</x:f>
      </x:c>
      <x:c r="G25" s="26" t="str">
        <x:f>IF(D25="","",EDATE(D25,2))</x:f>
      </x:c>
      <x:c r="H25" s="24" t="str">
        <x:f>IF(D25="","",INT((TODAY()-D25)/7))</x:f>
      </x:c>
      <x:c r="I25" s="24"/>
    </x:row>
    <x:row r="26">
      <x:c r="A26" s="24"/>
      <x:c r="B26" s="24"/>
      <x:c r="C26" s="24"/>
      <x:c r="D26" s="26"/>
      <x:c r="E26" s="26"/>
      <x:c r="F26" s="26" t="str">
        <x:f>IF(D26="","",D26+7)</x:f>
      </x:c>
      <x:c r="G26" s="26" t="str">
        <x:f>IF(D26="","",EDATE(D26,2))</x:f>
      </x:c>
      <x:c r="H26" s="24" t="str">
        <x:f>IF(D26="","",INT((TODAY()-D26)/7))</x:f>
      </x:c>
      <x:c r="I26" s="24"/>
    </x:row>
    <x:row r="27">
      <x:c r="A27" s="24"/>
      <x:c r="B27" s="24"/>
      <x:c r="C27" s="24"/>
      <x:c r="D27" s="26"/>
      <x:c r="E27" s="26"/>
      <x:c r="F27" s="26" t="str">
        <x:f>IF(D27="","",D27+7)</x:f>
      </x:c>
      <x:c r="G27" s="26" t="str">
        <x:f>IF(D27="","",EDATE(D27,2))</x:f>
      </x:c>
      <x:c r="H27" s="24" t="str">
        <x:f>IF(D27="","",INT((TODAY()-D27)/7))</x:f>
      </x:c>
      <x:c r="I27" s="24"/>
    </x:row>
    <x:row r="28">
      <x:c r="A28" s="24"/>
      <x:c r="B28" s="24"/>
      <x:c r="C28" s="24"/>
      <x:c r="D28" s="26"/>
      <x:c r="E28" s="26"/>
      <x:c r="F28" s="26" t="str">
        <x:f>IF(D28="","",D28+7)</x:f>
      </x:c>
      <x:c r="G28" s="26" t="str">
        <x:f>IF(D28="","",EDATE(D28,2))</x:f>
      </x:c>
      <x:c r="H28" s="24" t="str">
        <x:f>IF(D28="","",INT((TODAY()-D28)/7))</x:f>
      </x:c>
      <x:c r="I28" s="24"/>
    </x:row>
    <x:row r="29">
      <x:c r="A29" s="24"/>
      <x:c r="B29" s="24"/>
      <x:c r="C29" s="24"/>
      <x:c r="D29" s="26"/>
      <x:c r="E29" s="26"/>
      <x:c r="F29" s="26" t="str">
        <x:f>IF(D29="","",D29+7)</x:f>
      </x:c>
      <x:c r="G29" s="26" t="str">
        <x:f>IF(D29="","",EDATE(D29,2))</x:f>
      </x:c>
      <x:c r="H29" s="24" t="str">
        <x:f>IF(D29="","",INT((TODAY()-D29)/7))</x:f>
      </x:c>
      <x:c r="I29" s="24"/>
    </x:row>
    <x:row r="30">
      <x:c r="A30" s="24"/>
      <x:c r="B30" s="24"/>
      <x:c r="C30" s="24"/>
      <x:c r="D30" s="26"/>
      <x:c r="E30" s="26"/>
      <x:c r="F30" s="26" t="str">
        <x:f>IF(D30="","",D30+7)</x:f>
      </x:c>
      <x:c r="G30" s="26" t="str">
        <x:f>IF(D30="","",EDATE(D30,2))</x:f>
      </x:c>
      <x:c r="H30" s="24" t="str">
        <x:f>IF(D30="","",INT((TODAY()-D30)/7))</x:f>
      </x:c>
      <x:c r="I30" s="24"/>
    </x:row>
    <x:row r="31">
      <x:c r="A31" s="24"/>
      <x:c r="B31" s="24"/>
      <x:c r="C31" s="24"/>
      <x:c r="D31" s="26"/>
      <x:c r="E31" s="26"/>
      <x:c r="F31" s="26" t="str">
        <x:f>IF(D31="","",D31+7)</x:f>
      </x:c>
      <x:c r="G31" s="26" t="str">
        <x:f>IF(D31="","",EDATE(D31,2))</x:f>
      </x:c>
      <x:c r="H31" s="24" t="str">
        <x:f>IF(D31="","",INT((TODAY()-D31)/7))</x:f>
      </x:c>
      <x:c r="I31" s="24"/>
    </x:row>
    <x:row r="32">
      <x:c r="A32" s="24"/>
      <x:c r="B32" s="24"/>
      <x:c r="C32" s="24"/>
      <x:c r="D32" s="26"/>
      <x:c r="E32" s="26"/>
      <x:c r="F32" s="26" t="str">
        <x:f>IF(D32="","",D32+7)</x:f>
      </x:c>
      <x:c r="G32" s="26" t="str">
        <x:f>IF(D32="","",EDATE(D32,2))</x:f>
      </x:c>
      <x:c r="H32" s="24" t="str">
        <x:f>IF(D32="","",INT((TODAY()-D32)/7))</x:f>
      </x:c>
      <x:c r="I32" s="24"/>
    </x:row>
    <x:row r="33">
      <x:c r="A33" s="24"/>
      <x:c r="B33" s="24"/>
      <x:c r="C33" s="24"/>
      <x:c r="D33" s="26"/>
      <x:c r="E33" s="26"/>
      <x:c r="F33" s="26" t="str">
        <x:f>IF(D33="","",D33+7)</x:f>
      </x:c>
      <x:c r="G33" s="26" t="str">
        <x:f>IF(D33="","",EDATE(D33,2))</x:f>
      </x:c>
      <x:c r="H33" s="24" t="str">
        <x:f>IF(D33="","",INT((TODAY()-D33)/7))</x:f>
      </x:c>
      <x:c r="I33" s="24"/>
    </x:row>
    <x:row r="34">
      <x:c r="A34" s="24"/>
      <x:c r="B34" s="24"/>
      <x:c r="C34" s="24"/>
      <x:c r="D34" s="26"/>
      <x:c r="E34" s="26"/>
      <x:c r="F34" s="26" t="str">
        <x:f>IF(D34="","",D34+7)</x:f>
      </x:c>
      <x:c r="G34" s="26" t="str">
        <x:f>IF(D34="","",EDATE(D34,2))</x:f>
      </x:c>
      <x:c r="H34" s="24" t="str">
        <x:f>IF(D34="","",INT((TODAY()-D34)/7))</x:f>
      </x:c>
      <x:c r="I34" s="24"/>
    </x:row>
    <x:row r="35">
      <x:c r="A35" s="24"/>
      <x:c r="B35" s="24"/>
      <x:c r="C35" s="24"/>
      <x:c r="D35" s="26"/>
      <x:c r="E35" s="26"/>
      <x:c r="F35" s="26" t="str">
        <x:f>IF(D35="","",D35+7)</x:f>
      </x:c>
      <x:c r="G35" s="26" t="str">
        <x:f>IF(D35="","",EDATE(D35,2))</x:f>
      </x:c>
      <x:c r="H35" s="24" t="str">
        <x:f>IF(D35="","",INT((TODAY()-D35)/7))</x:f>
      </x:c>
      <x:c r="I35" s="24"/>
    </x:row>
    <x:row r="36">
      <x:c r="A36" s="24"/>
      <x:c r="B36" s="24"/>
      <x:c r="C36" s="24"/>
      <x:c r="D36" s="26"/>
      <x:c r="E36" s="26"/>
      <x:c r="F36" s="26" t="str">
        <x:f>IF(D36="","",D36+7)</x:f>
      </x:c>
      <x:c r="G36" s="26" t="str">
        <x:f>IF(D36="","",EDATE(D36,2))</x:f>
      </x:c>
      <x:c r="H36" s="24" t="str">
        <x:f>IF(D36="","",INT((TODAY()-D36)/7))</x:f>
      </x:c>
      <x:c r="I36" s="24"/>
    </x:row>
    <x:row r="37">
      <x:c r="A37" s="24"/>
      <x:c r="B37" s="24"/>
      <x:c r="C37" s="24"/>
      <x:c r="D37" s="26"/>
      <x:c r="E37" s="26"/>
      <x:c r="F37" s="26" t="str">
        <x:f>IF(D37="","",D37+7)</x:f>
      </x:c>
      <x:c r="G37" s="26" t="str">
        <x:f>IF(D37="","",EDATE(D37,2))</x:f>
      </x:c>
      <x:c r="H37" s="24" t="str">
        <x:f>IF(D37="","",INT((TODAY()-D37)/7))</x:f>
      </x:c>
      <x:c r="I37" s="24"/>
    </x:row>
    <x:row r="38">
      <x:c r="A38" s="24"/>
      <x:c r="B38" s="24"/>
      <x:c r="C38" s="24"/>
      <x:c r="D38" s="26"/>
      <x:c r="E38" s="26"/>
      <x:c r="F38" s="26" t="str">
        <x:f>IF(D38="","",D38+7)</x:f>
      </x:c>
      <x:c r="G38" s="26" t="str">
        <x:f>IF(D38="","",EDATE(D38,2))</x:f>
      </x:c>
      <x:c r="H38" s="24" t="str">
        <x:f>IF(D38="","",INT((TODAY()-D38)/7))</x:f>
      </x:c>
      <x:c r="I38" s="24"/>
    </x:row>
    <x:row r="39">
      <x:c r="A39" s="24"/>
      <x:c r="B39" s="24"/>
      <x:c r="C39" s="24"/>
      <x:c r="D39" s="26"/>
      <x:c r="E39" s="26"/>
      <x:c r="F39" s="26" t="str">
        <x:f>IF(D39="","",D39+7)</x:f>
      </x:c>
      <x:c r="G39" s="26" t="str">
        <x:f>IF(D39="","",EDATE(D39,2))</x:f>
      </x:c>
      <x:c r="H39" s="24" t="str">
        <x:f>IF(D39="","",INT((TODAY()-D39)/7))</x:f>
      </x:c>
      <x:c r="I39" s="24"/>
    </x:row>
    <x:row r="40">
      <x:c r="A40" s="24"/>
      <x:c r="B40" s="24"/>
      <x:c r="C40" s="24"/>
      <x:c r="D40" s="26"/>
      <x:c r="E40" s="26"/>
      <x:c r="F40" s="26" t="str">
        <x:f>IF(D40="","",D40+7)</x:f>
      </x:c>
      <x:c r="G40" s="26" t="str">
        <x:f>IF(D40="","",EDATE(D40,2))</x:f>
      </x:c>
      <x:c r="H40" s="24" t="str">
        <x:f>IF(D40="","",INT((TODAY()-D40)/7))</x:f>
      </x:c>
      <x:c r="I40" s="24"/>
    </x:row>
    <x:row r="41">
      <x:c r="A41" s="24"/>
      <x:c r="B41" s="24"/>
      <x:c r="C41" s="24"/>
      <x:c r="D41" s="26"/>
      <x:c r="E41" s="26"/>
      <x:c r="F41" s="26" t="str">
        <x:f>IF(D41="","",D41+7)</x:f>
      </x:c>
      <x:c r="G41" s="26" t="str">
        <x:f>IF(D41="","",EDATE(D41,2))</x:f>
      </x:c>
      <x:c r="H41" s="24" t="str">
        <x:f>IF(D41="","",INT((TODAY()-D41)/7))</x:f>
      </x:c>
      <x:c r="I41" s="24"/>
    </x:row>
    <x:row r="42">
      <x:c r="A42" s="24"/>
      <x:c r="B42" s="24"/>
      <x:c r="C42" s="24"/>
      <x:c r="D42" s="26"/>
      <x:c r="E42" s="26"/>
      <x:c r="F42" s="26" t="str">
        <x:f>IF(D42="","",D42+7)</x:f>
      </x:c>
      <x:c r="G42" s="26" t="str">
        <x:f>IF(D42="","",EDATE(D42,2))</x:f>
      </x:c>
      <x:c r="H42" s="24" t="str">
        <x:f>IF(D42="","",INT((TODAY()-D42)/7))</x:f>
      </x:c>
      <x:c r="I42" s="24"/>
    </x:row>
    <x:row r="43">
      <x:c r="A43" s="24"/>
      <x:c r="B43" s="24"/>
      <x:c r="C43" s="24"/>
      <x:c r="D43" s="26"/>
      <x:c r="E43" s="26"/>
      <x:c r="F43" s="26" t="str">
        <x:f>IF(D43="","",D43+7)</x:f>
      </x:c>
      <x:c r="G43" s="26" t="str">
        <x:f>IF(D43="","",EDATE(D43,2))</x:f>
      </x:c>
      <x:c r="H43" s="24" t="str">
        <x:f>IF(D43="","",INT((TODAY()-D43)/7))</x:f>
      </x:c>
      <x:c r="I43" s="24"/>
    </x:row>
    <x:row r="44">
      <x:c r="A44" s="24"/>
      <x:c r="B44" s="24"/>
      <x:c r="C44" s="24"/>
      <x:c r="D44" s="26"/>
      <x:c r="E44" s="26"/>
      <x:c r="F44" s="26" t="str">
        <x:f>IF(D44="","",D44+7)</x:f>
      </x:c>
      <x:c r="G44" s="26" t="str">
        <x:f>IF(D44="","",EDATE(D44,2))</x:f>
      </x:c>
      <x:c r="H44" s="24" t="str">
        <x:f>IF(D44="","",INT((TODAY()-D44)/7))</x:f>
      </x:c>
      <x:c r="I44" s="24"/>
    </x:row>
    <x:row r="45">
      <x:c r="A45" s="24"/>
      <x:c r="B45" s="24"/>
      <x:c r="C45" s="24"/>
      <x:c r="D45" s="26"/>
      <x:c r="E45" s="26"/>
      <x:c r="F45" s="26" t="str">
        <x:f>IF(D45="","",D45+7)</x:f>
      </x:c>
      <x:c r="G45" s="26" t="str">
        <x:f>IF(D45="","",EDATE(D45,2))</x:f>
      </x:c>
      <x:c r="H45" s="24" t="str">
        <x:f>IF(D45="","",INT((TODAY()-D45)/7))</x:f>
      </x:c>
      <x:c r="I45" s="24"/>
    </x:row>
    <x:row r="46">
      <x:c r="A46" s="24"/>
      <x:c r="B46" s="24"/>
      <x:c r="C46" s="24"/>
      <x:c r="D46" s="26"/>
      <x:c r="E46" s="26"/>
      <x:c r="F46" s="26" t="str">
        <x:f>IF(D46="","",D46+7)</x:f>
      </x:c>
      <x:c r="G46" s="26" t="str">
        <x:f>IF(D46="","",EDATE(D46,2))</x:f>
      </x:c>
      <x:c r="H46" s="24" t="str">
        <x:f>IF(D46="","",INT((TODAY()-D46)/7))</x:f>
      </x:c>
      <x:c r="I46" s="24"/>
    </x:row>
    <x:row r="47">
      <x:c r="A47" s="24"/>
      <x:c r="B47" s="24"/>
      <x:c r="C47" s="24"/>
      <x:c r="D47" s="26"/>
      <x:c r="E47" s="26"/>
      <x:c r="F47" s="26" t="str">
        <x:f>IF(D47="","",D47+7)</x:f>
      </x:c>
      <x:c r="G47" s="26" t="str">
        <x:f>IF(D47="","",EDATE(D47,2))</x:f>
      </x:c>
      <x:c r="H47" s="24" t="str">
        <x:f>IF(D47="","",INT((TODAY()-D47)/7))</x:f>
      </x:c>
      <x:c r="I47" s="24"/>
    </x:row>
    <x:row r="48">
      <x:c r="A48" s="24"/>
      <x:c r="B48" s="24"/>
      <x:c r="C48" s="24"/>
      <x:c r="D48" s="26"/>
      <x:c r="E48" s="26"/>
      <x:c r="F48" s="26" t="str">
        <x:f>IF(D48="","",D48+7)</x:f>
      </x:c>
      <x:c r="G48" s="26" t="str">
        <x:f>IF(D48="","",EDATE(D48,2))</x:f>
      </x:c>
      <x:c r="H48" s="24" t="str">
        <x:f>IF(D48="","",INT((TODAY()-D48)/7))</x:f>
      </x:c>
      <x:c r="I48" s="24"/>
    </x:row>
    <x:row r="49">
      <x:c r="A49" s="24"/>
      <x:c r="B49" s="24"/>
      <x:c r="C49" s="24"/>
      <x:c r="D49" s="26"/>
      <x:c r="E49" s="26"/>
      <x:c r="F49" s="26" t="str">
        <x:f>IF(D49="","",D49+7)</x:f>
      </x:c>
      <x:c r="G49" s="26" t="str">
        <x:f>IF(D49="","",EDATE(D49,2))</x:f>
      </x:c>
      <x:c r="H49" s="24" t="str">
        <x:f>IF(D49="","",INT((TODAY()-D49)/7))</x:f>
      </x:c>
      <x:c r="I49" s="24"/>
    </x:row>
    <x:row r="50">
      <x:c r="A50" s="24"/>
      <x:c r="B50" s="24"/>
      <x:c r="C50" s="24"/>
      <x:c r="D50" s="26"/>
      <x:c r="E50" s="26"/>
      <x:c r="F50" s="26" t="str">
        <x:f>IF(D50="","",D50+7)</x:f>
      </x:c>
      <x:c r="G50" s="26" t="str">
        <x:f>IF(D50="","",EDATE(D50,2))</x:f>
      </x:c>
      <x:c r="H50" s="24" t="str">
        <x:f>IF(D50="","",INT((TODAY()-D50)/7))</x:f>
      </x:c>
      <x:c r="I50" s="24"/>
    </x:row>
    <x:row r="51">
      <x:c r="A51" s="24"/>
      <x:c r="B51" s="24"/>
      <x:c r="C51" s="24"/>
      <x:c r="D51" s="26"/>
      <x:c r="E51" s="26"/>
      <x:c r="F51" s="26" t="str">
        <x:f>IF(D51="","",D51+7)</x:f>
      </x:c>
      <x:c r="G51" s="26" t="str">
        <x:f>IF(D51="","",EDATE(D51,2))</x:f>
      </x:c>
      <x:c r="H51" s="24" t="str">
        <x:f>IF(D51="","",INT((TODAY()-D51)/7))</x:f>
      </x:c>
      <x:c r="I51" s="24"/>
    </x:row>
    <x:row r="52">
      <x:c r="A52" s="24"/>
      <x:c r="B52" s="24"/>
      <x:c r="C52" s="24"/>
      <x:c r="D52" s="26"/>
      <x:c r="E52" s="26"/>
      <x:c r="F52" s="26" t="str">
        <x:f>IF(D52="","",D52+7)</x:f>
      </x:c>
      <x:c r="G52" s="26" t="str">
        <x:f>IF(D52="","",EDATE(D52,2))</x:f>
      </x:c>
      <x:c r="H52" s="24" t="str">
        <x:f>IF(D52="","",INT((TODAY()-D52)/7))</x:f>
      </x:c>
      <x:c r="I52" s="24"/>
    </x:row>
    <x:row r="53">
      <x:c r="A53" s="24"/>
      <x:c r="B53" s="24"/>
      <x:c r="C53" s="24"/>
      <x:c r="D53" s="26"/>
      <x:c r="E53" s="26"/>
      <x:c r="F53" s="26" t="str">
        <x:f>IF(D53="","",D53+7)</x:f>
      </x:c>
      <x:c r="G53" s="26" t="str">
        <x:f>IF(D53="","",EDATE(D53,2))</x:f>
      </x:c>
      <x:c r="H53" s="24" t="str">
        <x:f>IF(D53="","",INT((TODAY()-D53)/7))</x:f>
      </x:c>
      <x:c r="I53" s="24"/>
    </x:row>
    <x:row r="54">
      <x:c r="A54" s="24"/>
      <x:c r="B54" s="24"/>
      <x:c r="C54" s="24"/>
      <x:c r="D54" s="26"/>
      <x:c r="E54" s="26"/>
      <x:c r="F54" s="26" t="str">
        <x:f>IF(D54="","",D54+7)</x:f>
      </x:c>
      <x:c r="G54" s="26" t="str">
        <x:f>IF(D54="","",EDATE(D54,2))</x:f>
      </x:c>
      <x:c r="H54" s="24" t="str">
        <x:f>IF(D54="","",INT((TODAY()-D54)/7))</x:f>
      </x:c>
      <x:c r="I54" s="24"/>
    </x:row>
    <x:row r="55">
      <x:c r="A55" s="24"/>
      <x:c r="B55" s="24"/>
      <x:c r="C55" s="24"/>
      <x:c r="D55" s="26"/>
      <x:c r="E55" s="26"/>
      <x:c r="F55" s="26" t="str">
        <x:f>IF(D55="","",D55+7)</x:f>
      </x:c>
      <x:c r="G55" s="26" t="str">
        <x:f>IF(D55="","",EDATE(D55,2))</x:f>
      </x:c>
      <x:c r="H55" s="24" t="str">
        <x:f>IF(D55="","",INT((TODAY()-D55)/7))</x:f>
      </x:c>
      <x:c r="I55" s="24"/>
    </x:row>
    <x:row r="56">
      <x:c r="A56" s="24"/>
      <x:c r="B56" s="24"/>
      <x:c r="C56" s="24"/>
      <x:c r="D56" s="26"/>
      <x:c r="E56" s="26"/>
      <x:c r="F56" s="26" t="str">
        <x:f>IF(D56="","",D56+7)</x:f>
      </x:c>
      <x:c r="G56" s="26" t="str">
        <x:f>IF(D56="","",EDATE(D56,2))</x:f>
      </x:c>
      <x:c r="H56" s="24" t="str">
        <x:f>IF(D56="","",INT((TODAY()-D56)/7))</x:f>
      </x:c>
      <x:c r="I56" s="24"/>
    </x:row>
    <x:row r="57">
      <x:c r="A57" s="24"/>
      <x:c r="B57" s="24"/>
      <x:c r="C57" s="24"/>
      <x:c r="D57" s="26"/>
      <x:c r="E57" s="26"/>
      <x:c r="F57" s="26" t="str">
        <x:f>IF(D57="","",D57+7)</x:f>
      </x:c>
      <x:c r="G57" s="26" t="str">
        <x:f>IF(D57="","",EDATE(D57,2))</x:f>
      </x:c>
      <x:c r="H57" s="24" t="str">
        <x:f>IF(D57="","",INT((TODAY()-D57)/7))</x:f>
      </x:c>
      <x:c r="I57" s="24"/>
    </x:row>
    <x:row r="58">
      <x:c r="A58" s="24"/>
      <x:c r="B58" s="24"/>
      <x:c r="C58" s="24"/>
      <x:c r="D58" s="26"/>
      <x:c r="E58" s="26"/>
      <x:c r="F58" s="26" t="str">
        <x:f>IF(D58="","",D58+7)</x:f>
      </x:c>
      <x:c r="G58" s="26" t="str">
        <x:f>IF(D58="","",EDATE(D58,2))</x:f>
      </x:c>
      <x:c r="H58" s="24" t="str">
        <x:f>IF(D58="","",INT((TODAY()-D58)/7))</x:f>
      </x:c>
      <x:c r="I58" s="24"/>
    </x:row>
    <x:row r="59">
      <x:c r="A59" s="24"/>
      <x:c r="B59" s="24"/>
      <x:c r="C59" s="24"/>
      <x:c r="D59" s="26"/>
      <x:c r="E59" s="26"/>
      <x:c r="F59" s="26" t="str">
        <x:f>IF(D59="","",D59+7)</x:f>
      </x:c>
      <x:c r="G59" s="26" t="str">
        <x:f>IF(D59="","",EDATE(D59,2))</x:f>
      </x:c>
      <x:c r="H59" s="24" t="str">
        <x:f>IF(D59="","",INT((TODAY()-D59)/7))</x:f>
      </x:c>
      <x:c r="I59" s="24"/>
    </x:row>
    <x:row r="60">
      <x:c r="A60" s="24"/>
      <x:c r="B60" s="24"/>
      <x:c r="C60" s="24"/>
      <x:c r="D60" s="26"/>
      <x:c r="E60" s="26"/>
      <x:c r="F60" s="26" t="str">
        <x:f>IF(D60="","",D60+7)</x:f>
      </x:c>
      <x:c r="G60" s="26" t="str">
        <x:f>IF(D60="","",EDATE(D60,2))</x:f>
      </x:c>
      <x:c r="H60" s="24" t="str">
        <x:f>IF(D60="","",INT((TODAY()-D60)/7))</x:f>
      </x:c>
      <x:c r="I60" s="24"/>
    </x:row>
    <x:row r="61">
      <x:c r="A61" s="24"/>
      <x:c r="B61" s="24"/>
      <x:c r="C61" s="24"/>
      <x:c r="D61" s="26"/>
      <x:c r="E61" s="26"/>
      <x:c r="F61" s="26" t="str">
        <x:f>IF(D61="","",D61+7)</x:f>
      </x:c>
      <x:c r="G61" s="26" t="str">
        <x:f>IF(D61="","",EDATE(D61,2))</x:f>
      </x:c>
      <x:c r="H61" s="24" t="str">
        <x:f>IF(D61="","",INT((TODAY()-D61)/7))</x:f>
      </x:c>
      <x:c r="I61" s="24"/>
    </x:row>
    <x:row r="62">
      <x:c r="A62" s="24"/>
      <x:c r="B62" s="24"/>
      <x:c r="C62" s="24"/>
      <x:c r="D62" s="26"/>
      <x:c r="E62" s="26"/>
      <x:c r="F62" s="26" t="str">
        <x:f>IF(D62="","",D62+7)</x:f>
      </x:c>
      <x:c r="G62" s="26" t="str">
        <x:f>IF(D62="","",EDATE(D62,2))</x:f>
      </x:c>
      <x:c r="H62" s="24" t="str">
        <x:f>IF(D62="","",INT((TODAY()-D62)/7))</x:f>
      </x:c>
      <x:c r="I62" s="24"/>
    </x:row>
    <x:row r="63">
      <x:c r="A63" s="24"/>
      <x:c r="B63" s="24"/>
      <x:c r="C63" s="24"/>
      <x:c r="D63" s="26"/>
      <x:c r="E63" s="26"/>
      <x:c r="F63" s="26" t="str">
        <x:f>IF(D63="","",D63+7)</x:f>
      </x:c>
      <x:c r="G63" s="26" t="str">
        <x:f>IF(D63="","",EDATE(D63,2))</x:f>
      </x:c>
      <x:c r="H63" s="24" t="str">
        <x:f>IF(D63="","",INT((TODAY()-D63)/7))</x:f>
      </x:c>
      <x:c r="I63" s="24"/>
    </x:row>
    <x:row r="64">
      <x:c r="A64" s="24"/>
      <x:c r="B64" s="24"/>
      <x:c r="C64" s="24"/>
      <x:c r="D64" s="26"/>
      <x:c r="E64" s="26"/>
      <x:c r="F64" s="26" t="str">
        <x:f>IF(D64="","",D64+7)</x:f>
      </x:c>
      <x:c r="G64" s="26" t="str">
        <x:f>IF(D64="","",EDATE(D64,2))</x:f>
      </x:c>
      <x:c r="H64" s="24" t="str">
        <x:f>IF(D64="","",INT((TODAY()-D64)/7))</x:f>
      </x:c>
      <x:c r="I64" s="24"/>
    </x:row>
    <x:row r="65">
      <x:c r="A65" s="24"/>
      <x:c r="B65" s="24"/>
      <x:c r="C65" s="24"/>
      <x:c r="D65" s="26"/>
      <x:c r="E65" s="26"/>
      <x:c r="F65" s="26" t="str">
        <x:f>IF(D65="","",D65+7)</x:f>
      </x:c>
      <x:c r="G65" s="26" t="str">
        <x:f>IF(D65="","",EDATE(D65,2))</x:f>
      </x:c>
      <x:c r="H65" s="24" t="str">
        <x:f>IF(D65="","",INT((TODAY()-D65)/7))</x:f>
      </x:c>
      <x:c r="I65" s="24"/>
    </x:row>
    <x:row r="66">
      <x:c r="A66" s="24"/>
      <x:c r="B66" s="24"/>
      <x:c r="C66" s="24"/>
      <x:c r="D66" s="26"/>
      <x:c r="E66" s="26"/>
      <x:c r="F66" s="26" t="str">
        <x:f>IF(D66="","",D66+7)</x:f>
      </x:c>
      <x:c r="G66" s="26" t="str">
        <x:f>IF(D66="","",EDATE(D66,2))</x:f>
      </x:c>
      <x:c r="H66" s="24" t="str">
        <x:f>IF(D66="","",INT((TODAY()-D66)/7))</x:f>
      </x:c>
      <x:c r="I66" s="24"/>
    </x:row>
    <x:row r="67">
      <x:c r="A67" s="24"/>
      <x:c r="B67" s="24"/>
      <x:c r="C67" s="24"/>
      <x:c r="D67" s="26"/>
      <x:c r="E67" s="26"/>
      <x:c r="F67" s="26" t="str">
        <x:f>IF(D67="","",D67+7)</x:f>
      </x:c>
      <x:c r="G67" s="26" t="str">
        <x:f>IF(D67="","",EDATE(D67,2))</x:f>
      </x:c>
      <x:c r="H67" s="24" t="str">
        <x:f>IF(D67="","",INT((TODAY()-D67)/7))</x:f>
      </x:c>
      <x:c r="I67" s="24"/>
    </x:row>
    <x:row r="68">
      <x:c r="A68" s="24"/>
      <x:c r="B68" s="24"/>
      <x:c r="C68" s="24"/>
      <x:c r="D68" s="26"/>
      <x:c r="E68" s="26"/>
      <x:c r="F68" s="26" t="str">
        <x:f>IF(D68="","",D68+7)</x:f>
      </x:c>
      <x:c r="G68" s="26" t="str">
        <x:f>IF(D68="","",EDATE(D68,2))</x:f>
      </x:c>
      <x:c r="H68" s="24" t="str">
        <x:f>IF(D68="","",INT((TODAY()-D68)/7))</x:f>
      </x:c>
      <x:c r="I68" s="24"/>
    </x:row>
    <x:row r="69">
      <x:c r="A69" s="24"/>
      <x:c r="B69" s="24"/>
      <x:c r="C69" s="24"/>
      <x:c r="D69" s="26"/>
      <x:c r="E69" s="26"/>
      <x:c r="F69" s="26" t="str">
        <x:f>IF(D69="","",D69+7)</x:f>
      </x:c>
      <x:c r="G69" s="26" t="str">
        <x:f>IF(D69="","",EDATE(D69,2))</x:f>
      </x:c>
      <x:c r="H69" s="24" t="str">
        <x:f>IF(D69="","",INT((TODAY()-D69)/7))</x:f>
      </x:c>
      <x:c r="I69" s="24"/>
    </x:row>
    <x:row r="70">
      <x:c r="A70" s="24"/>
      <x:c r="B70" s="24"/>
      <x:c r="C70" s="24"/>
      <x:c r="D70" s="26"/>
      <x:c r="E70" s="26"/>
      <x:c r="F70" s="26" t="str">
        <x:f>IF(D70="","",D70+7)</x:f>
      </x:c>
      <x:c r="G70" s="26" t="str">
        <x:f>IF(D70="","",EDATE(D70,2))</x:f>
      </x:c>
      <x:c r="H70" s="24" t="str">
        <x:f>IF(D70="","",INT((TODAY()-D70)/7))</x:f>
      </x:c>
      <x:c r="I70" s="24"/>
    </x:row>
    <x:row r="71">
      <x:c r="A71" s="24"/>
      <x:c r="B71" s="24"/>
      <x:c r="C71" s="24"/>
      <x:c r="D71" s="26"/>
      <x:c r="E71" s="26"/>
      <x:c r="F71" s="26" t="str">
        <x:f>IF(D71="","",D71+7)</x:f>
      </x:c>
      <x:c r="G71" s="26" t="str">
        <x:f>IF(D71="","",EDATE(D71,2))</x:f>
      </x:c>
      <x:c r="H71" s="24" t="str">
        <x:f>IF(D71="","",INT((TODAY()-D71)/7))</x:f>
      </x:c>
      <x:c r="I71" s="24"/>
    </x:row>
    <x:row r="72">
      <x:c r="A72" s="24"/>
      <x:c r="B72" s="24"/>
      <x:c r="C72" s="24"/>
      <x:c r="D72" s="26"/>
      <x:c r="E72" s="26"/>
      <x:c r="F72" s="26" t="str">
        <x:f>IF(D72="","",D72+7)</x:f>
      </x:c>
      <x:c r="G72" s="26" t="str">
        <x:f>IF(D72="","",EDATE(D72,2))</x:f>
      </x:c>
      <x:c r="H72" s="24" t="str">
        <x:f>IF(D72="","",INT((TODAY()-D72)/7))</x:f>
      </x:c>
      <x:c r="I72" s="24"/>
    </x:row>
    <x:row r="73">
      <x:c r="A73" s="24"/>
      <x:c r="B73" s="24"/>
      <x:c r="C73" s="24"/>
      <x:c r="D73" s="26"/>
      <x:c r="E73" s="26"/>
      <x:c r="F73" s="26" t="str">
        <x:f>IF(D73="","",D73+7)</x:f>
      </x:c>
      <x:c r="G73" s="26" t="str">
        <x:f>IF(D73="","",EDATE(D73,2))</x:f>
      </x:c>
      <x:c r="H73" s="24" t="str">
        <x:f>IF(D73="","",INT((TODAY()-D73)/7))</x:f>
      </x:c>
      <x:c r="I73" s="24"/>
    </x:row>
    <x:row r="74">
      <x:c r="A74" s="24"/>
      <x:c r="B74" s="24"/>
      <x:c r="C74" s="24"/>
      <x:c r="D74" s="26"/>
      <x:c r="E74" s="26"/>
      <x:c r="F74" s="26" t="str">
        <x:f>IF(D74="","",D74+7)</x:f>
      </x:c>
      <x:c r="G74" s="26" t="str">
        <x:f>IF(D74="","",EDATE(D74,2))</x:f>
      </x:c>
      <x:c r="H74" s="24" t="str">
        <x:f>IF(D74="","",INT((TODAY()-D74)/7))</x:f>
      </x:c>
      <x:c r="I74" s="24"/>
    </x:row>
    <x:row r="75">
      <x:c r="A75" s="24"/>
      <x:c r="B75" s="24"/>
      <x:c r="C75" s="24"/>
      <x:c r="D75" s="26"/>
      <x:c r="E75" s="26"/>
      <x:c r="F75" s="26" t="str">
        <x:f>IF(D75="","",D75+7)</x:f>
      </x:c>
      <x:c r="G75" s="26" t="str">
        <x:f>IF(D75="","",EDATE(D75,2))</x:f>
      </x:c>
      <x:c r="H75" s="24" t="str">
        <x:f>IF(D75="","",INT((TODAY()-D75)/7))</x:f>
      </x:c>
      <x:c r="I75" s="24"/>
    </x:row>
    <x:row r="76">
      <x:c r="A76" s="24"/>
      <x:c r="B76" s="24"/>
      <x:c r="C76" s="24"/>
      <x:c r="D76" s="26"/>
      <x:c r="E76" s="26"/>
      <x:c r="F76" s="26" t="str">
        <x:f>IF(D76="","",D76+7)</x:f>
      </x:c>
      <x:c r="G76" s="26" t="str">
        <x:f>IF(D76="","",EDATE(D76,2))</x:f>
      </x:c>
      <x:c r="H76" s="24" t="str">
        <x:f>IF(D76="","",INT((TODAY()-D76)/7))</x:f>
      </x:c>
      <x:c r="I76" s="24"/>
    </x:row>
    <x:row r="77">
      <x:c r="A77" s="24"/>
      <x:c r="B77" s="24"/>
      <x:c r="C77" s="24"/>
      <x:c r="D77" s="26"/>
      <x:c r="E77" s="26"/>
      <x:c r="F77" s="26" t="str">
        <x:f>IF(D77="","",D77+7)</x:f>
      </x:c>
      <x:c r="G77" s="26" t="str">
        <x:f>IF(D77="","",EDATE(D77,2))</x:f>
      </x:c>
      <x:c r="H77" s="24" t="str">
        <x:f>IF(D77="","",INT((TODAY()-D77)/7))</x:f>
      </x:c>
      <x:c r="I77" s="24"/>
    </x:row>
    <x:row r="78">
      <x:c r="A78" s="24"/>
      <x:c r="B78" s="24"/>
      <x:c r="C78" s="24"/>
      <x:c r="D78" s="26"/>
      <x:c r="E78" s="26"/>
      <x:c r="F78" s="26" t="str">
        <x:f>IF(D78="","",D78+7)</x:f>
      </x:c>
      <x:c r="G78" s="26" t="str">
        <x:f>IF(D78="","",EDATE(D78,2))</x:f>
      </x:c>
      <x:c r="H78" s="24" t="str">
        <x:f>IF(D78="","",INT((TODAY()-D78)/7))</x:f>
      </x:c>
      <x:c r="I78" s="24"/>
    </x:row>
    <x:row r="79">
      <x:c r="A79" s="24"/>
      <x:c r="B79" s="24"/>
      <x:c r="C79" s="24"/>
      <x:c r="D79" s="26"/>
      <x:c r="E79" s="26"/>
      <x:c r="F79" s="26" t="str">
        <x:f>IF(D79="","",D79+7)</x:f>
      </x:c>
      <x:c r="G79" s="26" t="str">
        <x:f>IF(D79="","",EDATE(D79,2))</x:f>
      </x:c>
      <x:c r="H79" s="24" t="str">
        <x:f>IF(D79="","",INT((TODAY()-D79)/7))</x:f>
      </x:c>
      <x:c r="I79" s="24"/>
    </x:row>
    <x:row r="80">
      <x:c r="A80" s="24"/>
      <x:c r="B80" s="24"/>
      <x:c r="C80" s="24"/>
      <x:c r="D80" s="26"/>
      <x:c r="E80" s="26"/>
      <x:c r="F80" s="26" t="str">
        <x:f>IF(D80="","",D80+7)</x:f>
      </x:c>
      <x:c r="G80" s="26" t="str">
        <x:f>IF(D80="","",EDATE(D80,2))</x:f>
      </x:c>
      <x:c r="H80" s="24" t="str">
        <x:f>IF(D80="","",INT((TODAY()-D80)/7))</x:f>
      </x:c>
      <x:c r="I80" s="24"/>
    </x:row>
    <x:row r="81">
      <x:c r="A81" s="24"/>
      <x:c r="B81" s="24"/>
      <x:c r="C81" s="24"/>
      <x:c r="D81" s="26"/>
      <x:c r="E81" s="26"/>
      <x:c r="F81" s="26" t="str">
        <x:f>IF(D81="","",D81+7)</x:f>
      </x:c>
      <x:c r="G81" s="26" t="str">
        <x:f>IF(D81="","",EDATE(D81,2))</x:f>
      </x:c>
      <x:c r="H81" s="24" t="str">
        <x:f>IF(D81="","",INT((TODAY()-D81)/7))</x:f>
      </x:c>
      <x:c r="I81" s="24"/>
    </x:row>
    <x:row r="82">
      <x:c r="A82" s="24"/>
      <x:c r="B82" s="24"/>
      <x:c r="C82" s="24"/>
      <x:c r="D82" s="26"/>
      <x:c r="E82" s="26"/>
      <x:c r="F82" s="26" t="str">
        <x:f>IF(D82="","",D82+7)</x:f>
      </x:c>
      <x:c r="G82" s="26" t="str">
        <x:f>IF(D82="","",EDATE(D82,2))</x:f>
      </x:c>
      <x:c r="H82" s="24" t="str">
        <x:f>IF(D82="","",INT((TODAY()-D82)/7))</x:f>
      </x:c>
      <x:c r="I82" s="24"/>
    </x:row>
    <x:row r="83">
      <x:c r="A83" s="24"/>
      <x:c r="B83" s="24"/>
      <x:c r="C83" s="24"/>
      <x:c r="D83" s="26"/>
      <x:c r="E83" s="26"/>
      <x:c r="F83" s="26" t="str">
        <x:f>IF(D83="","",D83+7)</x:f>
      </x:c>
      <x:c r="G83" s="26" t="str">
        <x:f>IF(D83="","",EDATE(D83,2))</x:f>
      </x:c>
      <x:c r="H83" s="24" t="str">
        <x:f>IF(D83="","",INT((TODAY()-D83)/7))</x:f>
      </x:c>
      <x:c r="I83" s="24"/>
    </x:row>
    <x:row r="84">
      <x:c r="A84" s="24"/>
      <x:c r="B84" s="24"/>
      <x:c r="C84" s="24"/>
      <x:c r="D84" s="26"/>
      <x:c r="E84" s="26"/>
      <x:c r="F84" s="26" t="str">
        <x:f>IF(D84="","",D84+7)</x:f>
      </x:c>
      <x:c r="G84" s="26" t="str">
        <x:f>IF(D84="","",EDATE(D84,2))</x:f>
      </x:c>
      <x:c r="H84" s="24" t="str">
        <x:f>IF(D84="","",INT((TODAY()-D84)/7))</x:f>
      </x:c>
      <x:c r="I84" s="24"/>
    </x:row>
    <x:row r="85">
      <x:c r="A85" s="24"/>
      <x:c r="B85" s="24"/>
      <x:c r="C85" s="24"/>
      <x:c r="D85" s="26"/>
      <x:c r="E85" s="26"/>
      <x:c r="F85" s="26" t="str">
        <x:f>IF(D85="","",D85+7)</x:f>
      </x:c>
      <x:c r="G85" s="26" t="str">
        <x:f>IF(D85="","",EDATE(D85,2))</x:f>
      </x:c>
      <x:c r="H85" s="24" t="str">
        <x:f>IF(D85="","",INT((TODAY()-D85)/7))</x:f>
      </x:c>
      <x:c r="I85" s="24"/>
    </x:row>
    <x:row r="86">
      <x:c r="A86" s="24"/>
      <x:c r="B86" s="24"/>
      <x:c r="C86" s="24"/>
      <x:c r="D86" s="26"/>
      <x:c r="E86" s="26"/>
      <x:c r="F86" s="26" t="str">
        <x:f>IF(D86="","",D86+7)</x:f>
      </x:c>
      <x:c r="G86" s="26" t="str">
        <x:f>IF(D86="","",EDATE(D86,2))</x:f>
      </x:c>
      <x:c r="H86" s="24" t="str">
        <x:f>IF(D86="","",INT((TODAY()-D86)/7))</x:f>
      </x:c>
      <x:c r="I86" s="24"/>
    </x:row>
    <x:row r="87">
      <x:c r="A87" s="24"/>
      <x:c r="B87" s="24"/>
      <x:c r="C87" s="24"/>
      <x:c r="D87" s="26"/>
      <x:c r="E87" s="26"/>
      <x:c r="F87" s="26" t="str">
        <x:f>IF(D87="","",D87+7)</x:f>
      </x:c>
      <x:c r="G87" s="26" t="str">
        <x:f>IF(D87="","",EDATE(D87,2))</x:f>
      </x:c>
      <x:c r="H87" s="24" t="str">
        <x:f>IF(D87="","",INT((TODAY()-D87)/7))</x:f>
      </x:c>
      <x:c r="I87" s="24"/>
    </x:row>
    <x:row r="88">
      <x:c r="A88" s="24"/>
      <x:c r="B88" s="24"/>
      <x:c r="C88" s="24"/>
      <x:c r="D88" s="26"/>
      <x:c r="E88" s="26"/>
      <x:c r="F88" s="26" t="str">
        <x:f>IF(D88="","",D88+7)</x:f>
      </x:c>
      <x:c r="G88" s="26" t="str">
        <x:f>IF(D88="","",EDATE(D88,2))</x:f>
      </x:c>
      <x:c r="H88" s="24" t="str">
        <x:f>IF(D88="","",INT((TODAY()-D88)/7))</x:f>
      </x:c>
      <x:c r="I88" s="24"/>
    </x:row>
    <x:row r="89">
      <x:c r="A89" s="24"/>
      <x:c r="B89" s="24"/>
      <x:c r="C89" s="24"/>
      <x:c r="D89" s="26"/>
      <x:c r="E89" s="26"/>
      <x:c r="F89" s="26" t="str">
        <x:f>IF(D89="","",D89+7)</x:f>
      </x:c>
      <x:c r="G89" s="26" t="str">
        <x:f>IF(D89="","",EDATE(D89,2))</x:f>
      </x:c>
      <x:c r="H89" s="24" t="str">
        <x:f>IF(D89="","",INT((TODAY()-D89)/7))</x:f>
      </x:c>
      <x:c r="I89" s="24"/>
    </x:row>
    <x:row r="90">
      <x:c r="A90" s="24"/>
      <x:c r="B90" s="24"/>
      <x:c r="C90" s="24"/>
      <x:c r="D90" s="26"/>
      <x:c r="E90" s="26"/>
      <x:c r="F90" s="26" t="str">
        <x:f>IF(D90="","",D90+7)</x:f>
      </x:c>
      <x:c r="G90" s="26" t="str">
        <x:f>IF(D90="","",EDATE(D90,2))</x:f>
      </x:c>
      <x:c r="H90" s="24" t="str">
        <x:f>IF(D90="","",INT((TODAY()-D90)/7))</x:f>
      </x:c>
      <x:c r="I90" s="24"/>
    </x:row>
    <x:row r="91">
      <x:c r="A91" s="24"/>
      <x:c r="B91" s="24"/>
      <x:c r="C91" s="24"/>
      <x:c r="D91" s="26"/>
      <x:c r="E91" s="26"/>
      <x:c r="F91" s="26" t="str">
        <x:f>IF(D91="","",D91+7)</x:f>
      </x:c>
      <x:c r="G91" s="26" t="str">
        <x:f>IF(D91="","",EDATE(D91,2))</x:f>
      </x:c>
      <x:c r="H91" s="24" t="str">
        <x:f>IF(D91="","",INT((TODAY()-D91)/7))</x:f>
      </x:c>
      <x:c r="I91" s="24"/>
    </x:row>
    <x:row r="92">
      <x:c r="A92" s="24"/>
      <x:c r="B92" s="24"/>
      <x:c r="C92" s="24"/>
      <x:c r="D92" s="26"/>
      <x:c r="E92" s="26"/>
      <x:c r="F92" s="26" t="str">
        <x:f>IF(D92="","",D92+7)</x:f>
      </x:c>
      <x:c r="G92" s="26" t="str">
        <x:f>IF(D92="","",EDATE(D92,2))</x:f>
      </x:c>
      <x:c r="H92" s="24" t="str">
        <x:f>IF(D92="","",INT((TODAY()-D92)/7))</x:f>
      </x:c>
      <x:c r="I92" s="24"/>
    </x:row>
    <x:row r="93">
      <x:c r="A93" s="24"/>
      <x:c r="B93" s="24"/>
      <x:c r="C93" s="24"/>
      <x:c r="D93" s="26"/>
      <x:c r="E93" s="26"/>
      <x:c r="F93" s="26" t="str">
        <x:f>IF(D93="","",D93+7)</x:f>
      </x:c>
      <x:c r="G93" s="26" t="str">
        <x:f>IF(D93="","",EDATE(D93,2))</x:f>
      </x:c>
      <x:c r="H93" s="24" t="str">
        <x:f>IF(D93="","",INT((TODAY()-D93)/7))</x:f>
      </x:c>
      <x:c r="I93" s="24"/>
    </x:row>
    <x:row r="94">
      <x:c r="A94" s="24"/>
      <x:c r="B94" s="24"/>
      <x:c r="C94" s="24"/>
      <x:c r="D94" s="26"/>
      <x:c r="E94" s="26"/>
      <x:c r="F94" s="26" t="str">
        <x:f>IF(D94="","",D94+7)</x:f>
      </x:c>
      <x:c r="G94" s="26" t="str">
        <x:f>IF(D94="","",EDATE(D94,2))</x:f>
      </x:c>
      <x:c r="H94" s="24" t="str">
        <x:f>IF(D94="","",INT((TODAY()-D94)/7))</x:f>
      </x:c>
      <x:c r="I94" s="24"/>
    </x:row>
    <x:row r="95">
      <x:c r="A95" s="24"/>
      <x:c r="B95" s="24"/>
      <x:c r="C95" s="24"/>
      <x:c r="D95" s="26"/>
      <x:c r="E95" s="26"/>
      <x:c r="F95" s="26" t="str">
        <x:f>IF(D95="","",D95+7)</x:f>
      </x:c>
      <x:c r="G95" s="26" t="str">
        <x:f>IF(D95="","",EDATE(D95,2))</x:f>
      </x:c>
      <x:c r="H95" s="24" t="str">
        <x:f>IF(D95="","",INT((TODAY()-D95)/7))</x:f>
      </x:c>
      <x:c r="I95" s="24"/>
    </x:row>
    <x:row r="96">
      <x:c r="A96" s="24"/>
      <x:c r="B96" s="24"/>
      <x:c r="C96" s="24"/>
      <x:c r="D96" s="26"/>
      <x:c r="E96" s="26"/>
      <x:c r="F96" s="26" t="str">
        <x:f>IF(D96="","",D96+7)</x:f>
      </x:c>
      <x:c r="G96" s="26" t="str">
        <x:f>IF(D96="","",EDATE(D96,2))</x:f>
      </x:c>
      <x:c r="H96" s="24" t="str">
        <x:f>IF(D96="","",INT((TODAY()-D96)/7))</x:f>
      </x:c>
      <x:c r="I96" s="24"/>
    </x:row>
    <x:row r="97">
      <x:c r="A97" s="24"/>
      <x:c r="B97" s="24"/>
      <x:c r="C97" s="24"/>
      <x:c r="D97" s="26"/>
      <x:c r="E97" s="26"/>
      <x:c r="F97" s="26" t="str">
        <x:f>IF(D97="","",D97+7)</x:f>
      </x:c>
      <x:c r="G97" s="26" t="str">
        <x:f>IF(D97="","",EDATE(D97,2))</x:f>
      </x:c>
      <x:c r="H97" s="24" t="str">
        <x:f>IF(D97="","",INT((TODAY()-D97)/7))</x:f>
      </x:c>
      <x:c r="I97" s="24"/>
    </x:row>
    <x:row r="98">
      <x:c r="A98" s="24"/>
      <x:c r="B98" s="24"/>
      <x:c r="C98" s="24"/>
      <x:c r="D98" s="26"/>
      <x:c r="E98" s="26"/>
      <x:c r="F98" s="26" t="str">
        <x:f>IF(D98="","",D98+7)</x:f>
      </x:c>
      <x:c r="G98" s="26" t="str">
        <x:f>IF(D98="","",EDATE(D98,2))</x:f>
      </x:c>
      <x:c r="H98" s="24" t="str">
        <x:f>IF(D98="","",INT((TODAY()-D98)/7))</x:f>
      </x:c>
      <x:c r="I98" s="24"/>
    </x:row>
    <x:row r="99">
      <x:c r="A99" s="24"/>
      <x:c r="B99" s="24"/>
      <x:c r="C99" s="24"/>
      <x:c r="D99" s="26"/>
      <x:c r="E99" s="26"/>
      <x:c r="F99" s="26" t="str">
        <x:f>IF(D99="","",D99+7)</x:f>
      </x:c>
      <x:c r="G99" s="26" t="str">
        <x:f>IF(D99="","",EDATE(D99,2))</x:f>
      </x:c>
      <x:c r="H99" s="24" t="str">
        <x:f>IF(D99="","",INT((TODAY()-D99)/7))</x:f>
      </x:c>
      <x:c r="I99" s="24"/>
    </x:row>
    <x:row r="100">
      <x:c r="A100" s="24"/>
      <x:c r="B100" s="24"/>
      <x:c r="C100" s="24"/>
      <x:c r="D100" s="26"/>
      <x:c r="E100" s="26"/>
      <x:c r="F100" s="26" t="str">
        <x:f>IF(D100="","",D100+7)</x:f>
      </x:c>
      <x:c r="G100" s="26" t="str">
        <x:f>IF(D100="","",EDATE(D100,2))</x:f>
      </x:c>
      <x:c r="H100" s="24" t="str">
        <x:f>IF(D100="","",INT((TODAY()-D100)/7))</x:f>
      </x:c>
      <x:c r="I100" s="24"/>
    </x:row>
    <x:row r="101">
      <x:c r="A101" s="24"/>
      <x:c r="B101" s="24"/>
      <x:c r="C101" s="24"/>
      <x:c r="D101" s="26"/>
      <x:c r="E101" s="26"/>
      <x:c r="F101" s="26" t="str">
        <x:f>IF(D101="","",D101+7)</x:f>
      </x:c>
      <x:c r="G101" s="26" t="str">
        <x:f>IF(D101="","",EDATE(D101,2))</x:f>
      </x:c>
      <x:c r="H101" s="24" t="str">
        <x:f>IF(D101="","",INT((TODAY()-D101)/7))</x:f>
      </x:c>
      <x:c r="I101" s="24"/>
    </x:row>
    <x:row r="102">
      <x:c r="A102" s="24"/>
      <x:c r="B102" s="24"/>
      <x:c r="C102" s="24"/>
      <x:c r="D102" s="26"/>
      <x:c r="E102" s="26"/>
      <x:c r="F102" s="26" t="str">
        <x:f>IF(D102="","",D102+7)</x:f>
      </x:c>
      <x:c r="G102" s="26" t="str">
        <x:f>IF(D102="","",EDATE(D102,2))</x:f>
      </x:c>
      <x:c r="H102" s="24" t="str">
        <x:f>IF(D102="","",INT((TODAY()-D102)/7))</x:f>
      </x:c>
      <x:c r="I102" s="24"/>
    </x:row>
    <x:row r="103">
      <x:c r="A103" s="24"/>
      <x:c r="B103" s="24"/>
      <x:c r="C103" s="24"/>
      <x:c r="D103" s="26"/>
      <x:c r="E103" s="26"/>
      <x:c r="F103" s="26" t="str">
        <x:f>IF(D103="","",D103+7)</x:f>
      </x:c>
      <x:c r="G103" s="26" t="str">
        <x:f>IF(D103="","",EDATE(D103,2))</x:f>
      </x:c>
      <x:c r="H103" s="24" t="str">
        <x:f>IF(D103="","",INT((TODAY()-D103)/7))</x:f>
      </x:c>
      <x:c r="I103" s="24"/>
    </x:row>
    <x:row r="104">
      <x:c r="A104" s="24"/>
      <x:c r="B104" s="24"/>
      <x:c r="C104" s="24"/>
      <x:c r="D104" s="26"/>
      <x:c r="E104" s="26"/>
      <x:c r="F104" s="26" t="str">
        <x:f>IF(D104="","",D104+7)</x:f>
      </x:c>
      <x:c r="G104" s="26" t="str">
        <x:f>IF(D104="","",EDATE(D104,2))</x:f>
      </x:c>
      <x:c r="H104" s="24" t="str">
        <x:f>IF(D104="","",INT((TODAY()-D104)/7))</x:f>
      </x:c>
      <x:c r="I104" s="24"/>
    </x:row>
    <x:row r="105">
      <x:c r="A105" s="24"/>
      <x:c r="B105" s="24"/>
      <x:c r="C105" s="24"/>
      <x:c r="D105" s="26"/>
      <x:c r="E105" s="26"/>
      <x:c r="F105" s="26" t="str">
        <x:f>IF(D105="","",D105+7)</x:f>
      </x:c>
      <x:c r="G105" s="26" t="str">
        <x:f>IF(D105="","",EDATE(D105,2))</x:f>
      </x:c>
      <x:c r="H105" s="24" t="str">
        <x:f>IF(D105="","",INT((TODAY()-D105)/7))</x:f>
      </x:c>
      <x:c r="I105" s="24"/>
    </x:row>
    <x:row r="106">
      <x:c r="A106" s="24"/>
      <x:c r="B106" s="24"/>
      <x:c r="C106" s="24"/>
      <x:c r="D106" s="26"/>
      <x:c r="E106" s="26"/>
      <x:c r="F106" s="26" t="str">
        <x:f>IF(D106="","",D106+7)</x:f>
      </x:c>
      <x:c r="G106" s="26" t="str">
        <x:f>IF(D106="","",EDATE(D106,2))</x:f>
      </x:c>
      <x:c r="H106" s="24" t="str">
        <x:f>IF(D106="","",INT((TODAY()-D106)/7))</x:f>
      </x:c>
      <x:c r="I106" s="24"/>
    </x:row>
    <x:row r="107">
      <x:c r="A107" s="24"/>
      <x:c r="B107" s="24"/>
      <x:c r="C107" s="24"/>
      <x:c r="D107" s="26"/>
      <x:c r="E107" s="26"/>
      <x:c r="F107" s="26" t="str">
        <x:f>IF(D107="","",D107+7)</x:f>
      </x:c>
      <x:c r="G107" s="26" t="str">
        <x:f>IF(D107="","",EDATE(D107,2))</x:f>
      </x:c>
      <x:c r="H107" s="24" t="str">
        <x:f>IF(D107="","",INT((TODAY()-D107)/7))</x:f>
      </x:c>
      <x:c r="I107" s="24"/>
    </x:row>
    <x:row r="108">
      <x:c r="A108" s="24"/>
      <x:c r="B108" s="24"/>
      <x:c r="C108" s="24"/>
      <x:c r="D108" s="26"/>
      <x:c r="E108" s="26"/>
      <x:c r="F108" s="26" t="str">
        <x:f>IF(D108="","",D108+7)</x:f>
      </x:c>
      <x:c r="G108" s="26" t="str">
        <x:f>IF(D108="","",EDATE(D108,2))</x:f>
      </x:c>
      <x:c r="H108" s="24" t="str">
        <x:f>IF(D108="","",INT((TODAY()-D108)/7))</x:f>
      </x:c>
      <x:c r="I108" s="24"/>
    </x:row>
    <x:row r="109">
      <x:c r="A109" s="24"/>
      <x:c r="B109" s="24"/>
      <x:c r="C109" s="24"/>
      <x:c r="D109" s="26"/>
      <x:c r="E109" s="26"/>
      <x:c r="F109" s="26" t="str">
        <x:f>IF(D109="","",D109+7)</x:f>
      </x:c>
      <x:c r="G109" s="26" t="str">
        <x:f>IF(D109="","",EDATE(D109,2))</x:f>
      </x:c>
      <x:c r="H109" s="24" t="str">
        <x:f>IF(D109="","",INT((TODAY()-D109)/7))</x:f>
      </x:c>
      <x:c r="I109" s="24"/>
    </x:row>
    <x:row r="110">
      <x:c r="A110" s="24"/>
      <x:c r="B110" s="24"/>
      <x:c r="C110" s="24"/>
      <x:c r="D110" s="26"/>
      <x:c r="E110" s="26"/>
      <x:c r="F110" s="26" t="str">
        <x:f>IF(D110="","",D110+7)</x:f>
      </x:c>
      <x:c r="G110" s="26" t="str">
        <x:f>IF(D110="","",EDATE(D110,2))</x:f>
      </x:c>
      <x:c r="H110" s="24" t="str">
        <x:f>IF(D110="","",INT((TODAY()-D110)/7))</x:f>
      </x:c>
      <x:c r="I110" s="24"/>
    </x:row>
    <x:row r="111">
      <x:c r="A111" s="24"/>
      <x:c r="B111" s="24"/>
      <x:c r="C111" s="24"/>
      <x:c r="D111" s="26"/>
      <x:c r="E111" s="26"/>
      <x:c r="F111" s="26" t="str">
        <x:f>IF(D111="","",D111+7)</x:f>
      </x:c>
      <x:c r="G111" s="26" t="str">
        <x:f>IF(D111="","",EDATE(D111,2))</x:f>
      </x:c>
      <x:c r="H111" s="24" t="str">
        <x:f>IF(D111="","",INT((TODAY()-D111)/7))</x:f>
      </x:c>
      <x:c r="I111" s="24"/>
    </x:row>
    <x:row r="112">
      <x:c r="A112" s="24"/>
      <x:c r="B112" s="24"/>
      <x:c r="C112" s="24"/>
      <x:c r="D112" s="26"/>
      <x:c r="E112" s="26"/>
      <x:c r="F112" s="26" t="str">
        <x:f>IF(D112="","",D112+7)</x:f>
      </x:c>
      <x:c r="G112" s="26" t="str">
        <x:f>IF(D112="","",EDATE(D112,2))</x:f>
      </x:c>
      <x:c r="H112" s="24" t="str">
        <x:f>IF(D112="","",INT((TODAY()-D112)/7))</x:f>
      </x:c>
      <x:c r="I112" s="24"/>
    </x:row>
    <x:row r="113">
      <x:c r="A113" s="24"/>
      <x:c r="B113" s="24"/>
      <x:c r="C113" s="24"/>
      <x:c r="D113" s="26"/>
      <x:c r="E113" s="26"/>
      <x:c r="F113" s="26" t="str">
        <x:f>IF(D113="","",D113+7)</x:f>
      </x:c>
      <x:c r="G113" s="26" t="str">
        <x:f>IF(D113="","",EDATE(D113,2))</x:f>
      </x:c>
      <x:c r="H113" s="24" t="str">
        <x:f>IF(D113="","",INT((TODAY()-D113)/7))</x:f>
      </x:c>
      <x:c r="I113" s="24"/>
    </x:row>
    <x:row r="114">
      <x:c r="A114" s="24"/>
      <x:c r="B114" s="24"/>
      <x:c r="C114" s="24"/>
      <x:c r="D114" s="26"/>
      <x:c r="E114" s="26"/>
      <x:c r="F114" s="26" t="str">
        <x:f>IF(D114="","",D114+7)</x:f>
      </x:c>
      <x:c r="G114" s="26" t="str">
        <x:f>IF(D114="","",EDATE(D114,2))</x:f>
      </x:c>
      <x:c r="H114" s="24" t="str">
        <x:f>IF(D114="","",INT((TODAY()-D114)/7))</x:f>
      </x:c>
      <x:c r="I114" s="24"/>
    </x:row>
    <x:row r="115">
      <x:c r="A115" s="24"/>
      <x:c r="B115" s="24"/>
      <x:c r="C115" s="24"/>
      <x:c r="D115" s="26"/>
      <x:c r="E115" s="26"/>
      <x:c r="F115" s="26" t="str">
        <x:f>IF(D115="","",D115+7)</x:f>
      </x:c>
      <x:c r="G115" s="26" t="str">
        <x:f>IF(D115="","",EDATE(D115,2))</x:f>
      </x:c>
      <x:c r="H115" s="24" t="str">
        <x:f>IF(D115="","",INT((TODAY()-D115)/7))</x:f>
      </x:c>
      <x:c r="I115" s="24"/>
    </x:row>
    <x:row r="116">
      <x:c r="A116" s="24"/>
      <x:c r="B116" s="24"/>
      <x:c r="C116" s="24"/>
      <x:c r="D116" s="26"/>
      <x:c r="E116" s="26"/>
      <x:c r="F116" s="26" t="str">
        <x:f>IF(D116="","",D116+7)</x:f>
      </x:c>
      <x:c r="G116" s="26" t="str">
        <x:f>IF(D116="","",EDATE(D116,2))</x:f>
      </x:c>
      <x:c r="H116" s="24" t="str">
        <x:f>IF(D116="","",INT((TODAY()-D116)/7))</x:f>
      </x:c>
      <x:c r="I116" s="24"/>
    </x:row>
    <x:row r="117">
      <x:c r="A117" s="24"/>
      <x:c r="B117" s="24"/>
      <x:c r="C117" s="24"/>
      <x:c r="D117" s="26"/>
      <x:c r="E117" s="26"/>
      <x:c r="F117" s="26" t="str">
        <x:f>IF(D117="","",D117+7)</x:f>
      </x:c>
      <x:c r="G117" s="26" t="str">
        <x:f>IF(D117="","",EDATE(D117,2))</x:f>
      </x:c>
      <x:c r="H117" s="24" t="str">
        <x:f>IF(D117="","",INT((TODAY()-D117)/7))</x:f>
      </x:c>
      <x:c r="I117" s="24"/>
    </x:row>
    <x:row r="118">
      <x:c r="A118" s="24"/>
      <x:c r="B118" s="24"/>
      <x:c r="C118" s="24"/>
      <x:c r="D118" s="26"/>
      <x:c r="E118" s="26"/>
      <x:c r="F118" s="26" t="str">
        <x:f>IF(D118="","",D118+7)</x:f>
      </x:c>
      <x:c r="G118" s="26" t="str">
        <x:f>IF(D118="","",EDATE(D118,2))</x:f>
      </x:c>
      <x:c r="H118" s="24" t="str">
        <x:f>IF(D118="","",INT((TODAY()-D118)/7))</x:f>
      </x:c>
      <x:c r="I118" s="24"/>
    </x:row>
    <x:row r="119">
      <x:c r="A119" s="24"/>
      <x:c r="B119" s="24"/>
      <x:c r="C119" s="24"/>
      <x:c r="D119" s="26"/>
      <x:c r="E119" s="26"/>
      <x:c r="F119" s="26" t="str">
        <x:f>IF(D119="","",D119+7)</x:f>
      </x:c>
      <x:c r="G119" s="26" t="str">
        <x:f>IF(D119="","",EDATE(D119,2))</x:f>
      </x:c>
      <x:c r="H119" s="24" t="str">
        <x:f>IF(D119="","",INT((TODAY()-D119)/7))</x:f>
      </x:c>
      <x:c r="I119" s="24"/>
    </x:row>
    <x:row r="120">
      <x:c r="A120" s="24"/>
      <x:c r="B120" s="24"/>
      <x:c r="C120" s="24"/>
      <x:c r="D120" s="26"/>
      <x:c r="E120" s="26"/>
      <x:c r="F120" s="26" t="str">
        <x:f>IF(D120="","",D120+7)</x:f>
      </x:c>
      <x:c r="G120" s="26" t="str">
        <x:f>IF(D120="","",EDATE(D120,2))</x:f>
      </x:c>
      <x:c r="H120" s="24" t="str">
        <x:f>IF(D120="","",INT((TODAY()-D120)/7))</x:f>
      </x:c>
      <x:c r="I120" s="24"/>
    </x:row>
    <x:row r="121">
      <x:c r="A121" s="24"/>
      <x:c r="B121" s="24"/>
      <x:c r="C121" s="24"/>
      <x:c r="D121" s="26"/>
      <x:c r="E121" s="26"/>
      <x:c r="F121" s="26" t="str">
        <x:f>IF(D121="","",D121+7)</x:f>
      </x:c>
      <x:c r="G121" s="26" t="str">
        <x:f>IF(D121="","",EDATE(D121,2))</x:f>
      </x:c>
      <x:c r="H121" s="24" t="str">
        <x:f>IF(D121="","",INT((TODAY()-D121)/7))</x:f>
      </x:c>
      <x:c r="I121" s="24"/>
    </x:row>
    <x:row r="122">
      <x:c r="A122" s="24"/>
      <x:c r="B122" s="24"/>
      <x:c r="C122" s="24"/>
      <x:c r="D122" s="26"/>
      <x:c r="E122" s="26"/>
      <x:c r="F122" s="26" t="str">
        <x:f>IF(D122="","",D122+7)</x:f>
      </x:c>
      <x:c r="G122" s="26" t="str">
        <x:f>IF(D122="","",EDATE(D122,2))</x:f>
      </x:c>
      <x:c r="H122" s="24" t="str">
        <x:f>IF(D122="","",INT((TODAY()-D122)/7))</x:f>
      </x:c>
      <x:c r="I122" s="24"/>
    </x:row>
    <x:row r="123">
      <x:c r="A123" s="24"/>
      <x:c r="B123" s="24"/>
      <x:c r="C123" s="24"/>
      <x:c r="D123" s="26"/>
      <x:c r="E123" s="26"/>
      <x:c r="F123" s="26" t="str">
        <x:f>IF(D123="","",D123+7)</x:f>
      </x:c>
      <x:c r="G123" s="26" t="str">
        <x:f>IF(D123="","",EDATE(D123,2))</x:f>
      </x:c>
      <x:c r="H123" s="24" t="str">
        <x:f>IF(D123="","",INT((TODAY()-D123)/7))</x:f>
      </x:c>
      <x:c r="I123" s="24"/>
    </x:row>
    <x:row r="124">
      <x:c r="A124" s="24"/>
      <x:c r="B124" s="24"/>
      <x:c r="C124" s="24"/>
      <x:c r="D124" s="26"/>
      <x:c r="E124" s="26"/>
      <x:c r="F124" s="26" t="str">
        <x:f>IF(D124="","",D124+7)</x:f>
      </x:c>
      <x:c r="G124" s="26" t="str">
        <x:f>IF(D124="","",EDATE(D124,2))</x:f>
      </x:c>
      <x:c r="H124" s="24" t="str">
        <x:f>IF(D124="","",INT((TODAY()-D124)/7))</x:f>
      </x:c>
      <x:c r="I124" s="24"/>
    </x:row>
    <x:row r="125">
      <x:c r="A125" s="24"/>
      <x:c r="B125" s="24"/>
      <x:c r="C125" s="24"/>
      <x:c r="D125" s="26"/>
      <x:c r="E125" s="26"/>
      <x:c r="F125" s="26" t="str">
        <x:f>IF(D125="","",D125+7)</x:f>
      </x:c>
      <x:c r="G125" s="26" t="str">
        <x:f>IF(D125="","",EDATE(D125,2))</x:f>
      </x:c>
      <x:c r="H125" s="24" t="str">
        <x:f>IF(D125="","",INT((TODAY()-D125)/7))</x:f>
      </x:c>
      <x:c r="I125" s="24"/>
    </x:row>
    <x:row r="126">
      <x:c r="A126" s="24"/>
      <x:c r="B126" s="24"/>
      <x:c r="C126" s="24"/>
      <x:c r="D126" s="26"/>
      <x:c r="E126" s="26"/>
      <x:c r="F126" s="26" t="str">
        <x:f>IF(D126="","",D126+7)</x:f>
      </x:c>
      <x:c r="G126" s="26" t="str">
        <x:f>IF(D126="","",EDATE(D126,2))</x:f>
      </x:c>
      <x:c r="H126" s="24" t="str">
        <x:f>IF(D126="","",INT((TODAY()-D126)/7))</x:f>
      </x:c>
      <x:c r="I126" s="24"/>
    </x:row>
    <x:row r="127">
      <x:c r="A127" s="24"/>
      <x:c r="B127" s="24"/>
      <x:c r="C127" s="24"/>
      <x:c r="D127" s="26"/>
      <x:c r="E127" s="26"/>
      <x:c r="F127" s="26" t="str">
        <x:f>IF(D127="","",D127+7)</x:f>
      </x:c>
      <x:c r="G127" s="26" t="str">
        <x:f>IF(D127="","",EDATE(D127,2))</x:f>
      </x:c>
      <x:c r="H127" s="24" t="str">
        <x:f>IF(D127="","",INT((TODAY()-D127)/7))</x:f>
      </x:c>
      <x:c r="I127" s="24"/>
    </x:row>
    <x:row r="128">
      <x:c r="A128" s="24"/>
      <x:c r="B128" s="24"/>
      <x:c r="C128" s="24"/>
      <x:c r="D128" s="26"/>
      <x:c r="E128" s="26"/>
      <x:c r="F128" s="26" t="str">
        <x:f>IF(D128="","",D128+7)</x:f>
      </x:c>
      <x:c r="G128" s="26" t="str">
        <x:f>IF(D128="","",EDATE(D128,2))</x:f>
      </x:c>
      <x:c r="H128" s="24" t="str">
        <x:f>IF(D128="","",INT((TODAY()-D128)/7))</x:f>
      </x:c>
      <x:c r="I128" s="24"/>
    </x:row>
    <x:row r="129">
      <x:c r="A129" s="24"/>
      <x:c r="B129" s="24"/>
      <x:c r="C129" s="24"/>
      <x:c r="D129" s="26"/>
      <x:c r="E129" s="26"/>
      <x:c r="F129" s="26" t="str">
        <x:f>IF(D129="","",D129+7)</x:f>
      </x:c>
      <x:c r="G129" s="26" t="str">
        <x:f>IF(D129="","",EDATE(D129,2))</x:f>
      </x:c>
      <x:c r="H129" s="24" t="str">
        <x:f>IF(D129="","",INT((TODAY()-D129)/7))</x:f>
      </x:c>
      <x:c r="I129" s="24"/>
    </x:row>
    <x:row r="130">
      <x:c r="A130" s="24"/>
      <x:c r="B130" s="24"/>
      <x:c r="C130" s="24"/>
      <x:c r="D130" s="26"/>
      <x:c r="E130" s="26"/>
      <x:c r="F130" s="26" t="str">
        <x:f>IF(D130="","",D130+7)</x:f>
      </x:c>
      <x:c r="G130" s="26" t="str">
        <x:f>IF(D130="","",EDATE(D130,2))</x:f>
      </x:c>
      <x:c r="H130" s="24" t="str">
        <x:f>IF(D130="","",INT((TODAY()-D130)/7))</x:f>
      </x:c>
      <x:c r="I130" s="24"/>
    </x:row>
    <x:row r="131">
      <x:c r="A131" s="24"/>
      <x:c r="B131" s="24"/>
      <x:c r="C131" s="24"/>
      <x:c r="D131" s="26"/>
      <x:c r="E131" s="26"/>
      <x:c r="F131" s="26" t="str">
        <x:f>IF(D131="","",D131+7)</x:f>
      </x:c>
      <x:c r="G131" s="26" t="str">
        <x:f>IF(D131="","",EDATE(D131,2))</x:f>
      </x:c>
      <x:c r="H131" s="24" t="str">
        <x:f>IF(D131="","",INT((TODAY()-D131)/7))</x:f>
      </x:c>
      <x:c r="I131" s="24"/>
    </x:row>
    <x:row r="132">
      <x:c r="A132" s="24"/>
      <x:c r="B132" s="24"/>
      <x:c r="C132" s="24"/>
      <x:c r="D132" s="26"/>
      <x:c r="E132" s="26"/>
      <x:c r="F132" s="26" t="str">
        <x:f>IF(D132="","",D132+7)</x:f>
      </x:c>
      <x:c r="G132" s="26" t="str">
        <x:f>IF(D132="","",EDATE(D132,2))</x:f>
      </x:c>
      <x:c r="H132" s="24" t="str">
        <x:f>IF(D132="","",INT((TODAY()-D132)/7))</x:f>
      </x:c>
      <x:c r="I132" s="24"/>
    </x:row>
    <x:row r="133">
      <x:c r="A133" s="24"/>
      <x:c r="B133" s="24"/>
      <x:c r="C133" s="24"/>
      <x:c r="D133" s="26"/>
      <x:c r="E133" s="26"/>
      <x:c r="F133" s="26" t="str">
        <x:f>IF(D133="","",D133+7)</x:f>
      </x:c>
      <x:c r="G133" s="26" t="str">
        <x:f>IF(D133="","",EDATE(D133,2))</x:f>
      </x:c>
      <x:c r="H133" s="24" t="str">
        <x:f>IF(D133="","",INT((TODAY()-D133)/7))</x:f>
      </x:c>
      <x:c r="I133" s="24"/>
    </x:row>
    <x:row r="134">
      <x:c r="A134" s="24"/>
      <x:c r="B134" s="24"/>
      <x:c r="C134" s="24"/>
      <x:c r="D134" s="26"/>
      <x:c r="E134" s="26"/>
      <x:c r="F134" s="26" t="str">
        <x:f>IF(D134="","",D134+7)</x:f>
      </x:c>
      <x:c r="G134" s="26" t="str">
        <x:f>IF(D134="","",EDATE(D134,2))</x:f>
      </x:c>
      <x:c r="H134" s="24" t="str">
        <x:f>IF(D134="","",INT((TODAY()-D134)/7))</x:f>
      </x:c>
      <x:c r="I134" s="24"/>
    </x:row>
    <x:row r="135">
      <x:c r="A135" s="24"/>
      <x:c r="B135" s="24"/>
      <x:c r="C135" s="24"/>
      <x:c r="D135" s="26"/>
      <x:c r="E135" s="26"/>
      <x:c r="F135" s="26" t="str">
        <x:f>IF(D135="","",D135+7)</x:f>
      </x:c>
      <x:c r="G135" s="26" t="str">
        <x:f>IF(D135="","",EDATE(D135,2))</x:f>
      </x:c>
      <x:c r="H135" s="24" t="str">
        <x:f>IF(D135="","",INT((TODAY()-D135)/7))</x:f>
      </x:c>
      <x:c r="I135" s="24"/>
    </x:row>
    <x:row r="136">
      <x:c r="A136" s="24"/>
      <x:c r="B136" s="24"/>
      <x:c r="C136" s="24"/>
      <x:c r="D136" s="26"/>
      <x:c r="E136" s="26"/>
      <x:c r="F136" s="26" t="str">
        <x:f>IF(D136="","",D136+7)</x:f>
      </x:c>
      <x:c r="G136" s="26" t="str">
        <x:f>IF(D136="","",EDATE(D136,2))</x:f>
      </x:c>
      <x:c r="H136" s="24" t="str">
        <x:f>IF(D136="","",INT((TODAY()-D136)/7))</x:f>
      </x:c>
      <x:c r="I136" s="24"/>
    </x:row>
    <x:row r="137">
      <x:c r="A137" s="24"/>
      <x:c r="B137" s="24"/>
      <x:c r="C137" s="24"/>
      <x:c r="D137" s="26"/>
      <x:c r="E137" s="26"/>
      <x:c r="F137" s="26" t="str">
        <x:f>IF(D137="","",D137+7)</x:f>
      </x:c>
      <x:c r="G137" s="26" t="str">
        <x:f>IF(D137="","",EDATE(D137,2))</x:f>
      </x:c>
      <x:c r="H137" s="24" t="str">
        <x:f>IF(D137="","",INT((TODAY()-D137)/7))</x:f>
      </x:c>
      <x:c r="I137" s="24"/>
    </x:row>
    <x:row r="138">
      <x:c r="A138" s="24"/>
      <x:c r="B138" s="24"/>
      <x:c r="C138" s="24"/>
      <x:c r="D138" s="26"/>
      <x:c r="E138" s="26"/>
      <x:c r="F138" s="26" t="str">
        <x:f>IF(D138="","",D138+7)</x:f>
      </x:c>
      <x:c r="G138" s="26" t="str">
        <x:f>IF(D138="","",EDATE(D138,2))</x:f>
      </x:c>
      <x:c r="H138" s="24" t="str">
        <x:f>IF(D138="","",INT((TODAY()-D138)/7))</x:f>
      </x:c>
      <x:c r="I138" s="24"/>
    </x:row>
    <x:row r="139">
      <x:c r="A139" s="24"/>
      <x:c r="B139" s="24"/>
      <x:c r="C139" s="24"/>
      <x:c r="D139" s="26"/>
      <x:c r="E139" s="26"/>
      <x:c r="F139" s="26" t="str">
        <x:f>IF(D139="","",D139+7)</x:f>
      </x:c>
      <x:c r="G139" s="26" t="str">
        <x:f>IF(D139="","",EDATE(D139,2))</x:f>
      </x:c>
      <x:c r="H139" s="24" t="str">
        <x:f>IF(D139="","",INT((TODAY()-D139)/7))</x:f>
      </x:c>
      <x:c r="I139" s="24"/>
    </x:row>
    <x:row r="140">
      <x:c r="A140" s="24"/>
      <x:c r="B140" s="24"/>
      <x:c r="C140" s="24"/>
      <x:c r="D140" s="26"/>
      <x:c r="E140" s="26"/>
      <x:c r="F140" s="26" t="str">
        <x:f>IF(D140="","",D140+7)</x:f>
      </x:c>
      <x:c r="G140" s="26" t="str">
        <x:f>IF(D140="","",EDATE(D140,2))</x:f>
      </x:c>
      <x:c r="H140" s="24" t="str">
        <x:f>IF(D140="","",INT((TODAY()-D140)/7))</x:f>
      </x:c>
      <x:c r="I140" s="24"/>
    </x:row>
    <x:row r="141">
      <x:c r="A141" s="24"/>
      <x:c r="B141" s="24"/>
      <x:c r="C141" s="24"/>
      <x:c r="D141" s="26"/>
      <x:c r="E141" s="26"/>
      <x:c r="F141" s="26" t="str">
        <x:f>IF(D141="","",D141+7)</x:f>
      </x:c>
      <x:c r="G141" s="26" t="str">
        <x:f>IF(D141="","",EDATE(D141,2))</x:f>
      </x:c>
      <x:c r="H141" s="24" t="str">
        <x:f>IF(D141="","",INT((TODAY()-D141)/7))</x:f>
      </x:c>
      <x:c r="I141" s="24"/>
    </x:row>
    <x:row r="142">
      <x:c r="A142" s="24"/>
      <x:c r="B142" s="24"/>
      <x:c r="C142" s="24"/>
      <x:c r="D142" s="26"/>
      <x:c r="E142" s="26"/>
      <x:c r="F142" s="26" t="str">
        <x:f>IF(D142="","",D142+7)</x:f>
      </x:c>
      <x:c r="G142" s="26" t="str">
        <x:f>IF(D142="","",EDATE(D142,2))</x:f>
      </x:c>
      <x:c r="H142" s="24" t="str">
        <x:f>IF(D142="","",INT((TODAY()-D142)/7))</x:f>
      </x:c>
      <x:c r="I142" s="24"/>
    </x:row>
    <x:row r="143">
      <x:c r="A143" s="24"/>
      <x:c r="B143" s="24"/>
      <x:c r="C143" s="24"/>
      <x:c r="D143" s="26"/>
      <x:c r="E143" s="26"/>
      <x:c r="F143" s="26" t="str">
        <x:f>IF(D143="","",D143+7)</x:f>
      </x:c>
      <x:c r="G143" s="26" t="str">
        <x:f>IF(D143="","",EDATE(D143,2))</x:f>
      </x:c>
      <x:c r="H143" s="24" t="str">
        <x:f>IF(D143="","",INT((TODAY()-D143)/7))</x:f>
      </x:c>
      <x:c r="I143" s="24"/>
    </x:row>
    <x:row r="144">
      <x:c r="A144" s="24"/>
      <x:c r="B144" s="24"/>
      <x:c r="C144" s="24"/>
      <x:c r="D144" s="26"/>
      <x:c r="E144" s="26"/>
      <x:c r="F144" s="26" t="str">
        <x:f>IF(D144="","",D144+7)</x:f>
      </x:c>
      <x:c r="G144" s="26" t="str">
        <x:f>IF(D144="","",EDATE(D144,2))</x:f>
      </x:c>
      <x:c r="H144" s="24" t="str">
        <x:f>IF(D144="","",INT((TODAY()-D144)/7))</x:f>
      </x:c>
      <x:c r="I144" s="24"/>
    </x:row>
    <x:row r="145">
      <x:c r="A145" s="24"/>
      <x:c r="B145" s="24"/>
      <x:c r="C145" s="24"/>
      <x:c r="D145" s="26"/>
      <x:c r="E145" s="26"/>
      <x:c r="F145" s="26" t="str">
        <x:f>IF(D145="","",D145+7)</x:f>
      </x:c>
      <x:c r="G145" s="26" t="str">
        <x:f>IF(D145="","",EDATE(D145,2))</x:f>
      </x:c>
      <x:c r="H145" s="24" t="str">
        <x:f>IF(D145="","",INT((TODAY()-D145)/7))</x:f>
      </x:c>
      <x:c r="I145" s="24"/>
    </x:row>
    <x:row r="146">
      <x:c r="A146" s="24"/>
      <x:c r="B146" s="24"/>
      <x:c r="C146" s="24"/>
      <x:c r="D146" s="26"/>
      <x:c r="E146" s="26"/>
      <x:c r="F146" s="26" t="str">
        <x:f>IF(D146="","",D146+7)</x:f>
      </x:c>
      <x:c r="G146" s="26" t="str">
        <x:f>IF(D146="","",EDATE(D146,2))</x:f>
      </x:c>
      <x:c r="H146" s="24" t="str">
        <x:f>IF(D146="","",INT((TODAY()-D146)/7))</x:f>
      </x:c>
      <x:c r="I146" s="24"/>
    </x:row>
    <x:row r="147">
      <x:c r="A147" s="24"/>
      <x:c r="B147" s="24"/>
      <x:c r="C147" s="24"/>
      <x:c r="D147" s="26"/>
      <x:c r="E147" s="26"/>
      <x:c r="F147" s="26" t="str">
        <x:f>IF(D147="","",D147+7)</x:f>
      </x:c>
      <x:c r="G147" s="26" t="str">
        <x:f>IF(D147="","",EDATE(D147,2))</x:f>
      </x:c>
      <x:c r="H147" s="24" t="str">
        <x:f>IF(D147="","",INT((TODAY()-D147)/7))</x:f>
      </x:c>
      <x:c r="I147" s="24"/>
    </x:row>
    <x:row r="148">
      <x:c r="A148" s="24"/>
      <x:c r="B148" s="24"/>
      <x:c r="C148" s="24"/>
      <x:c r="D148" s="26"/>
      <x:c r="E148" s="26"/>
      <x:c r="F148" s="26" t="str">
        <x:f>IF(D148="","",D148+7)</x:f>
      </x:c>
      <x:c r="G148" s="26" t="str">
        <x:f>IF(D148="","",EDATE(D148,2))</x:f>
      </x:c>
      <x:c r="H148" s="24" t="str">
        <x:f>IF(D148="","",INT((TODAY()-D148)/7))</x:f>
      </x:c>
      <x:c r="I148" s="24"/>
    </x:row>
    <x:row r="149">
      <x:c r="A149" s="24"/>
      <x:c r="B149" s="24"/>
      <x:c r="C149" s="24"/>
      <x:c r="D149" s="26"/>
      <x:c r="E149" s="26"/>
      <x:c r="F149" s="26" t="str">
        <x:f>IF(D149="","",D149+7)</x:f>
      </x:c>
      <x:c r="G149" s="26" t="str">
        <x:f>IF(D149="","",EDATE(D149,2))</x:f>
      </x:c>
      <x:c r="H149" s="24" t="str">
        <x:f>IF(D149="","",INT((TODAY()-D149)/7))</x:f>
      </x:c>
      <x:c r="I149" s="24"/>
    </x:row>
    <x:row r="150">
      <x:c r="A150" s="24"/>
      <x:c r="B150" s="24"/>
      <x:c r="C150" s="24"/>
      <x:c r="D150" s="26"/>
      <x:c r="E150" s="26"/>
      <x:c r="F150" s="26" t="str">
        <x:f>IF(D150="","",D150+7)</x:f>
      </x:c>
      <x:c r="G150" s="26" t="str">
        <x:f>IF(D150="","",EDATE(D150,2))</x:f>
      </x:c>
      <x:c r="H150" s="24" t="str">
        <x:f>IF(D150="","",INT((TODAY()-D150)/7))</x:f>
      </x:c>
      <x:c r="I150" s="24"/>
    </x:row>
    <x:row r="151">
      <x:c r="A151" s="24"/>
      <x:c r="B151" s="24"/>
      <x:c r="C151" s="24"/>
      <x:c r="D151" s="26"/>
      <x:c r="E151" s="26"/>
      <x:c r="F151" s="26" t="str">
        <x:f>IF(D151="","",D151+7)</x:f>
      </x:c>
      <x:c r="G151" s="26" t="str">
        <x:f>IF(D151="","",EDATE(D151,2))</x:f>
      </x:c>
      <x:c r="H151" s="24" t="str">
        <x:f>IF(D151="","",INT((TODAY()-D151)/7))</x:f>
      </x:c>
      <x:c r="I151" s="24"/>
    </x:row>
    <x:row r="152">
      <x:c r="A152" s="24"/>
      <x:c r="B152" s="24"/>
      <x:c r="C152" s="24"/>
      <x:c r="D152" s="26"/>
      <x:c r="E152" s="26"/>
      <x:c r="F152" s="26" t="str">
        <x:f>IF(D152="","",D152+7)</x:f>
      </x:c>
      <x:c r="G152" s="26" t="str">
        <x:f>IF(D152="","",EDATE(D152,2))</x:f>
      </x:c>
      <x:c r="H152" s="24" t="str">
        <x:f>IF(D152="","",INT((TODAY()-D152)/7))</x:f>
      </x:c>
      <x:c r="I152" s="24"/>
    </x:row>
    <x:row r="153">
      <x:c r="A153" s="24"/>
      <x:c r="B153" s="24"/>
      <x:c r="C153" s="24"/>
      <x:c r="D153" s="26"/>
      <x:c r="E153" s="26"/>
      <x:c r="F153" s="26" t="str">
        <x:f>IF(D153="","",D153+7)</x:f>
      </x:c>
      <x:c r="G153" s="26" t="str">
        <x:f>IF(D153="","",EDATE(D153,2))</x:f>
      </x:c>
      <x:c r="H153" s="24" t="str">
        <x:f>IF(D153="","",INT((TODAY()-D153)/7))</x:f>
      </x:c>
      <x:c r="I153" s="24"/>
    </x:row>
    <x:row r="154">
      <x:c r="A154" s="24"/>
      <x:c r="B154" s="24"/>
      <x:c r="C154" s="24"/>
      <x:c r="D154" s="26"/>
      <x:c r="E154" s="26"/>
      <x:c r="F154" s="26" t="str">
        <x:f>IF(D154="","",D154+7)</x:f>
      </x:c>
      <x:c r="G154" s="26" t="str">
        <x:f>IF(D154="","",EDATE(D154,2))</x:f>
      </x:c>
      <x:c r="H154" s="24" t="str">
        <x:f>IF(D154="","",INT((TODAY()-D154)/7))</x:f>
      </x:c>
      <x:c r="I154" s="24"/>
    </x:row>
    <x:row r="155">
      <x:c r="A155" s="24"/>
      <x:c r="B155" s="24"/>
      <x:c r="C155" s="24"/>
      <x:c r="D155" s="26"/>
      <x:c r="E155" s="26"/>
      <x:c r="F155" s="26" t="str">
        <x:f>IF(D155="","",D155+7)</x:f>
      </x:c>
      <x:c r="G155" s="26" t="str">
        <x:f>IF(D155="","",EDATE(D155,2))</x:f>
      </x:c>
      <x:c r="H155" s="24" t="str">
        <x:f>IF(D155="","",INT((TODAY()-D155)/7))</x:f>
      </x:c>
      <x:c r="I155" s="24"/>
    </x:row>
    <x:row r="156">
      <x:c r="A156" s="24"/>
      <x:c r="B156" s="24"/>
      <x:c r="C156" s="24"/>
      <x:c r="D156" s="26"/>
      <x:c r="E156" s="26"/>
      <x:c r="F156" s="26" t="str">
        <x:f>IF(D156="","",D156+7)</x:f>
      </x:c>
      <x:c r="G156" s="26" t="str">
        <x:f>IF(D156="","",EDATE(D156,2))</x:f>
      </x:c>
      <x:c r="H156" s="24" t="str">
        <x:f>IF(D156="","",INT((TODAY()-D156)/7))</x:f>
      </x:c>
      <x:c r="I156" s="24"/>
    </x:row>
    <x:row r="157">
      <x:c r="A157" s="24"/>
      <x:c r="B157" s="24"/>
      <x:c r="C157" s="24"/>
      <x:c r="D157" s="26"/>
      <x:c r="E157" s="26"/>
      <x:c r="F157" s="26" t="str">
        <x:f>IF(D157="","",D157+7)</x:f>
      </x:c>
      <x:c r="G157" s="26" t="str">
        <x:f>IF(D157="","",EDATE(D157,2))</x:f>
      </x:c>
      <x:c r="H157" s="24" t="str">
        <x:f>IF(D157="","",INT((TODAY()-D157)/7))</x:f>
      </x:c>
      <x:c r="I157" s="24"/>
    </x:row>
    <x:row r="158">
      <x:c r="A158" s="24"/>
      <x:c r="B158" s="24"/>
      <x:c r="C158" s="24"/>
      <x:c r="D158" s="26"/>
      <x:c r="E158" s="26"/>
      <x:c r="F158" s="26" t="str">
        <x:f>IF(D158="","",D158+7)</x:f>
      </x:c>
      <x:c r="G158" s="26" t="str">
        <x:f>IF(D158="","",EDATE(D158,2))</x:f>
      </x:c>
      <x:c r="H158" s="24" t="str">
        <x:f>IF(D158="","",INT((TODAY()-D158)/7))</x:f>
      </x:c>
      <x:c r="I158" s="24"/>
    </x:row>
    <x:row r="159">
      <x:c r="A159" s="24"/>
      <x:c r="B159" s="24"/>
      <x:c r="C159" s="24"/>
      <x:c r="D159" s="26"/>
      <x:c r="E159" s="26"/>
      <x:c r="F159" s="26" t="str">
        <x:f>IF(D159="","",D159+7)</x:f>
      </x:c>
      <x:c r="G159" s="26" t="str">
        <x:f>IF(D159="","",EDATE(D159,2))</x:f>
      </x:c>
      <x:c r="H159" s="24" t="str">
        <x:f>IF(D159="","",INT((TODAY()-D159)/7))</x:f>
      </x:c>
      <x:c r="I159" s="24"/>
    </x:row>
    <x:row r="160">
      <x:c r="A160" s="24"/>
      <x:c r="B160" s="24"/>
      <x:c r="C160" s="24"/>
      <x:c r="D160" s="26"/>
      <x:c r="E160" s="26"/>
      <x:c r="F160" s="26" t="str">
        <x:f>IF(D160="","",D160+7)</x:f>
      </x:c>
      <x:c r="G160" s="26" t="str">
        <x:f>IF(D160="","",EDATE(D160,2))</x:f>
      </x:c>
      <x:c r="H160" s="24" t="str">
        <x:f>IF(D160="","",INT((TODAY()-D160)/7))</x:f>
      </x:c>
      <x:c r="I160" s="24"/>
    </x:row>
    <x:row r="161">
      <x:c r="A161" s="24"/>
      <x:c r="B161" s="24"/>
      <x:c r="C161" s="24"/>
      <x:c r="D161" s="26"/>
      <x:c r="E161" s="26"/>
      <x:c r="F161" s="26" t="str">
        <x:f>IF(D161="","",D161+7)</x:f>
      </x:c>
      <x:c r="G161" s="26" t="str">
        <x:f>IF(D161="","",EDATE(D161,2))</x:f>
      </x:c>
      <x:c r="H161" s="24" t="str">
        <x:f>IF(D161="","",INT((TODAY()-D161)/7))</x:f>
      </x:c>
      <x:c r="I161" s="24"/>
    </x:row>
    <x:row r="162">
      <x:c r="A162" s="24"/>
      <x:c r="B162" s="24"/>
      <x:c r="C162" s="24"/>
      <x:c r="D162" s="26"/>
      <x:c r="E162" s="26"/>
      <x:c r="F162" s="26" t="str">
        <x:f>IF(D162="","",D162+7)</x:f>
      </x:c>
      <x:c r="G162" s="26" t="str">
        <x:f>IF(D162="","",EDATE(D162,2))</x:f>
      </x:c>
      <x:c r="H162" s="24" t="str">
        <x:f>IF(D162="","",INT((TODAY()-D162)/7))</x:f>
      </x:c>
      <x:c r="I162" s="24"/>
    </x:row>
    <x:row r="163">
      <x:c r="A163" s="24"/>
      <x:c r="B163" s="24"/>
      <x:c r="C163" s="24"/>
      <x:c r="D163" s="26"/>
      <x:c r="E163" s="26"/>
      <x:c r="F163" s="26" t="str">
        <x:f>IF(D163="","",D163+7)</x:f>
      </x:c>
      <x:c r="G163" s="26" t="str">
        <x:f>IF(D163="","",EDATE(D163,2))</x:f>
      </x:c>
      <x:c r="H163" s="24" t="str">
        <x:f>IF(D163="","",INT((TODAY()-D163)/7))</x:f>
      </x:c>
      <x:c r="I163" s="24"/>
    </x:row>
    <x:row r="164">
      <x:c r="A164" s="24"/>
      <x:c r="B164" s="24"/>
      <x:c r="C164" s="24"/>
      <x:c r="D164" s="26"/>
      <x:c r="E164" s="26"/>
      <x:c r="F164" s="26" t="str">
        <x:f>IF(D164="","",D164+7)</x:f>
      </x:c>
      <x:c r="G164" s="26" t="str">
        <x:f>IF(D164="","",EDATE(D164,2))</x:f>
      </x:c>
      <x:c r="H164" s="24" t="str">
        <x:f>IF(D164="","",INT((TODAY()-D164)/7))</x:f>
      </x:c>
      <x:c r="I164" s="24"/>
    </x:row>
    <x:row r="165">
      <x:c r="A165" s="24"/>
      <x:c r="B165" s="24"/>
      <x:c r="C165" s="24"/>
      <x:c r="D165" s="26"/>
      <x:c r="E165" s="26"/>
      <x:c r="F165" s="26" t="str">
        <x:f>IF(D165="","",D165+7)</x:f>
      </x:c>
      <x:c r="G165" s="26" t="str">
        <x:f>IF(D165="","",EDATE(D165,2))</x:f>
      </x:c>
      <x:c r="H165" s="24" t="str">
        <x:f>IF(D165="","",INT((TODAY()-D165)/7))</x:f>
      </x:c>
      <x:c r="I165" s="24"/>
    </x:row>
    <x:row r="166">
      <x:c r="A166" s="24"/>
      <x:c r="B166" s="24"/>
      <x:c r="C166" s="24"/>
      <x:c r="D166" s="26"/>
      <x:c r="E166" s="26"/>
      <x:c r="F166" s="26" t="str">
        <x:f>IF(D166="","",D166+7)</x:f>
      </x:c>
      <x:c r="G166" s="26" t="str">
        <x:f>IF(D166="","",EDATE(D166,2))</x:f>
      </x:c>
      <x:c r="H166" s="24" t="str">
        <x:f>IF(D166="","",INT((TODAY()-D166)/7))</x:f>
      </x:c>
      <x:c r="I166" s="24"/>
    </x:row>
    <x:row r="167">
      <x:c r="A167" s="24"/>
      <x:c r="B167" s="24"/>
      <x:c r="C167" s="24"/>
      <x:c r="D167" s="26"/>
      <x:c r="E167" s="26"/>
      <x:c r="F167" s="26" t="str">
        <x:f>IF(D167="","",D167+7)</x:f>
      </x:c>
      <x:c r="G167" s="26" t="str">
        <x:f>IF(D167="","",EDATE(D167,2))</x:f>
      </x:c>
      <x:c r="H167" s="24" t="str">
        <x:f>IF(D167="","",INT((TODAY()-D167)/7))</x:f>
      </x:c>
      <x:c r="I167" s="24"/>
    </x:row>
    <x:row r="168">
      <x:c r="A168" s="24"/>
      <x:c r="B168" s="24"/>
      <x:c r="C168" s="24"/>
      <x:c r="D168" s="26"/>
      <x:c r="E168" s="26"/>
      <x:c r="F168" s="26" t="str">
        <x:f>IF(D168="","",D168+7)</x:f>
      </x:c>
      <x:c r="G168" s="26" t="str">
        <x:f>IF(D168="","",EDATE(D168,2))</x:f>
      </x:c>
      <x:c r="H168" s="24" t="str">
        <x:f>IF(D168="","",INT((TODAY()-D168)/7))</x:f>
      </x:c>
      <x:c r="I168" s="24"/>
    </x:row>
    <x:row r="169">
      <x:c r="A169" s="24"/>
      <x:c r="B169" s="24"/>
      <x:c r="C169" s="24"/>
      <x:c r="D169" s="26"/>
      <x:c r="E169" s="26"/>
      <x:c r="F169" s="26" t="str">
        <x:f>IF(D169="","",D169+7)</x:f>
      </x:c>
      <x:c r="G169" s="26" t="str">
        <x:f>IF(D169="","",EDATE(D169,2))</x:f>
      </x:c>
      <x:c r="H169" s="24" t="str">
        <x:f>IF(D169="","",INT((TODAY()-D169)/7))</x:f>
      </x:c>
      <x:c r="I169" s="24"/>
    </x:row>
    <x:row r="170">
      <x:c r="A170" s="24"/>
      <x:c r="B170" s="24"/>
      <x:c r="C170" s="24"/>
      <x:c r="D170" s="26"/>
      <x:c r="E170" s="26"/>
      <x:c r="F170" s="26" t="str">
        <x:f>IF(D170="","",D170+7)</x:f>
      </x:c>
      <x:c r="G170" s="26" t="str">
        <x:f>IF(D170="","",EDATE(D170,2))</x:f>
      </x:c>
      <x:c r="H170" s="24" t="str">
        <x:f>IF(D170="","",INT((TODAY()-D170)/7))</x:f>
      </x:c>
      <x:c r="I170" s="24"/>
    </x:row>
    <x:row r="171">
      <x:c r="A171" s="24"/>
      <x:c r="B171" s="24"/>
      <x:c r="C171" s="24"/>
      <x:c r="D171" s="26"/>
      <x:c r="E171" s="26"/>
      <x:c r="F171" s="26" t="str">
        <x:f>IF(D171="","",D171+7)</x:f>
      </x:c>
      <x:c r="G171" s="26" t="str">
        <x:f>IF(D171="","",EDATE(D171,2))</x:f>
      </x:c>
      <x:c r="H171" s="24" t="str">
        <x:f>IF(D171="","",INT((TODAY()-D171)/7))</x:f>
      </x:c>
      <x:c r="I171" s="24"/>
    </x:row>
    <x:row r="172">
      <x:c r="A172" s="24"/>
      <x:c r="B172" s="24"/>
      <x:c r="C172" s="24"/>
      <x:c r="D172" s="26"/>
      <x:c r="E172" s="26"/>
      <x:c r="F172" s="26" t="str">
        <x:f>IF(D172="","",D172+7)</x:f>
      </x:c>
      <x:c r="G172" s="26" t="str">
        <x:f>IF(D172="","",EDATE(D172,2))</x:f>
      </x:c>
      <x:c r="H172" s="24" t="str">
        <x:f>IF(D172="","",INT((TODAY()-D172)/7))</x:f>
      </x:c>
      <x:c r="I172" s="24"/>
    </x:row>
    <x:row r="173">
      <x:c r="A173" s="24"/>
      <x:c r="B173" s="24"/>
      <x:c r="C173" s="24"/>
      <x:c r="D173" s="26"/>
      <x:c r="E173" s="26"/>
      <x:c r="F173" s="26" t="str">
        <x:f>IF(D173="","",D173+7)</x:f>
      </x:c>
      <x:c r="G173" s="26" t="str">
        <x:f>IF(D173="","",EDATE(D173,2))</x:f>
      </x:c>
      <x:c r="H173" s="24" t="str">
        <x:f>IF(D173="","",INT((TODAY()-D173)/7))</x:f>
      </x:c>
      <x:c r="I173" s="24"/>
    </x:row>
    <x:row r="174">
      <x:c r="A174" s="24"/>
      <x:c r="B174" s="24"/>
      <x:c r="C174" s="24"/>
      <x:c r="D174" s="26"/>
      <x:c r="E174" s="26"/>
      <x:c r="F174" s="26" t="str">
        <x:f>IF(D174="","",D174+7)</x:f>
      </x:c>
      <x:c r="G174" s="26" t="str">
        <x:f>IF(D174="","",EDATE(D174,2))</x:f>
      </x:c>
      <x:c r="H174" s="24" t="str">
        <x:f>IF(D174="","",INT((TODAY()-D174)/7))</x:f>
      </x:c>
      <x:c r="I174" s="24"/>
    </x:row>
    <x:row r="175">
      <x:c r="A175" s="24"/>
      <x:c r="B175" s="24"/>
      <x:c r="C175" s="24"/>
      <x:c r="D175" s="26"/>
      <x:c r="E175" s="26"/>
      <x:c r="F175" s="26" t="str">
        <x:f>IF(D175="","",D175+7)</x:f>
      </x:c>
      <x:c r="G175" s="26" t="str">
        <x:f>IF(D175="","",EDATE(D175,2))</x:f>
      </x:c>
      <x:c r="H175" s="24" t="str">
        <x:f>IF(D175="","",INT((TODAY()-D175)/7))</x:f>
      </x:c>
      <x:c r="I175" s="24"/>
    </x:row>
    <x:row r="176">
      <x:c r="A176" s="24"/>
      <x:c r="B176" s="24"/>
      <x:c r="C176" s="24"/>
      <x:c r="D176" s="26"/>
      <x:c r="E176" s="26"/>
      <x:c r="F176" s="26" t="str">
        <x:f>IF(D176="","",D176+7)</x:f>
      </x:c>
      <x:c r="G176" s="26" t="str">
        <x:f>IF(D176="","",EDATE(D176,2))</x:f>
      </x:c>
      <x:c r="H176" s="24" t="str">
        <x:f>IF(D176="","",INT((TODAY()-D176)/7))</x:f>
      </x:c>
      <x:c r="I176" s="24"/>
    </x:row>
    <x:row r="177">
      <x:c r="A177" s="24"/>
      <x:c r="B177" s="24"/>
      <x:c r="C177" s="24"/>
      <x:c r="D177" s="26"/>
      <x:c r="E177" s="26"/>
      <x:c r="F177" s="26" t="str">
        <x:f>IF(D177="","",D177+7)</x:f>
      </x:c>
      <x:c r="G177" s="26" t="str">
        <x:f>IF(D177="","",EDATE(D177,2))</x:f>
      </x:c>
      <x:c r="H177" s="24" t="str">
        <x:f>IF(D177="","",INT((TODAY()-D177)/7))</x:f>
      </x:c>
      <x:c r="I177" s="24"/>
    </x:row>
    <x:row r="178">
      <x:c r="A178" s="24"/>
      <x:c r="B178" s="24"/>
      <x:c r="C178" s="24"/>
      <x:c r="D178" s="26"/>
      <x:c r="E178" s="26"/>
      <x:c r="F178" s="26" t="str">
        <x:f>IF(D178="","",D178+7)</x:f>
      </x:c>
      <x:c r="G178" s="26" t="str">
        <x:f>IF(D178="","",EDATE(D178,2))</x:f>
      </x:c>
      <x:c r="H178" s="24" t="str">
        <x:f>IF(D178="","",INT((TODAY()-D178)/7))</x:f>
      </x:c>
      <x:c r="I178" s="24"/>
    </x:row>
    <x:row r="179">
      <x:c r="A179" s="24"/>
      <x:c r="B179" s="24"/>
      <x:c r="C179" s="24"/>
      <x:c r="D179" s="26"/>
      <x:c r="E179" s="26"/>
      <x:c r="F179" s="26" t="str">
        <x:f>IF(D179="","",D179+7)</x:f>
      </x:c>
      <x:c r="G179" s="26" t="str">
        <x:f>IF(D179="","",EDATE(D179,2))</x:f>
      </x:c>
      <x:c r="H179" s="24" t="str">
        <x:f>IF(D179="","",INT((TODAY()-D179)/7))</x:f>
      </x:c>
      <x:c r="I179" s="24"/>
    </x:row>
    <x:row r="180">
      <x:c r="A180" s="24"/>
      <x:c r="B180" s="24"/>
      <x:c r="C180" s="24"/>
      <x:c r="D180" s="26"/>
      <x:c r="E180" s="26"/>
      <x:c r="F180" s="26" t="str">
        <x:f>IF(D180="","",D180+7)</x:f>
      </x:c>
      <x:c r="G180" s="26" t="str">
        <x:f>IF(D180="","",EDATE(D180,2))</x:f>
      </x:c>
      <x:c r="H180" s="24" t="str">
        <x:f>IF(D180="","",INT((TODAY()-D180)/7))</x:f>
      </x:c>
      <x:c r="I180" s="24"/>
    </x:row>
    <x:row r="181">
      <x:c r="A181" s="24"/>
      <x:c r="B181" s="24"/>
      <x:c r="C181" s="24"/>
      <x:c r="D181" s="26"/>
      <x:c r="E181" s="26"/>
      <x:c r="F181" s="26" t="str">
        <x:f>IF(D181="","",D181+7)</x:f>
      </x:c>
      <x:c r="G181" s="26" t="str">
        <x:f>IF(D181="","",EDATE(D181,2))</x:f>
      </x:c>
      <x:c r="H181" s="24" t="str">
        <x:f>IF(D181="","",INT((TODAY()-D181)/7))</x:f>
      </x:c>
      <x:c r="I181" s="24"/>
    </x:row>
    <x:row r="182">
      <x:c r="A182" s="24"/>
      <x:c r="B182" s="24"/>
      <x:c r="C182" s="24"/>
      <x:c r="D182" s="26"/>
      <x:c r="E182" s="26"/>
      <x:c r="F182" s="26" t="str">
        <x:f>IF(D182="","",D182+7)</x:f>
      </x:c>
      <x:c r="G182" s="26" t="str">
        <x:f>IF(D182="","",EDATE(D182,2))</x:f>
      </x:c>
      <x:c r="H182" s="24" t="str">
        <x:f>IF(D182="","",INT((TODAY()-D182)/7))</x:f>
      </x:c>
      <x:c r="I182" s="24"/>
    </x:row>
    <x:row r="183">
      <x:c r="A183" s="24"/>
      <x:c r="B183" s="24"/>
      <x:c r="C183" s="24"/>
      <x:c r="D183" s="26"/>
      <x:c r="E183" s="26"/>
      <x:c r="F183" s="26" t="str">
        <x:f>IF(D183="","",D183+7)</x:f>
      </x:c>
      <x:c r="G183" s="26" t="str">
        <x:f>IF(D183="","",EDATE(D183,2))</x:f>
      </x:c>
      <x:c r="H183" s="24" t="str">
        <x:f>IF(D183="","",INT((TODAY()-D183)/7))</x:f>
      </x:c>
      <x:c r="I183" s="24"/>
    </x:row>
    <x:row r="184">
      <x:c r="A184" s="24"/>
      <x:c r="B184" s="24"/>
      <x:c r="C184" s="24"/>
      <x:c r="D184" s="26"/>
      <x:c r="E184" s="26"/>
      <x:c r="F184" s="26" t="str">
        <x:f>IF(D184="","",D184+7)</x:f>
      </x:c>
      <x:c r="G184" s="26" t="str">
        <x:f>IF(D184="","",EDATE(D184,2))</x:f>
      </x:c>
      <x:c r="H184" s="24" t="str">
        <x:f>IF(D184="","",INT((TODAY()-D184)/7))</x:f>
      </x:c>
      <x:c r="I184" s="24"/>
    </x:row>
    <x:row r="185">
      <x:c r="A185" s="24"/>
      <x:c r="B185" s="24"/>
      <x:c r="C185" s="24"/>
      <x:c r="D185" s="26"/>
      <x:c r="E185" s="26"/>
      <x:c r="F185" s="26" t="str">
        <x:f>IF(D185="","",D185+7)</x:f>
      </x:c>
      <x:c r="G185" s="26" t="str">
        <x:f>IF(D185="","",EDATE(D185,2))</x:f>
      </x:c>
      <x:c r="H185" s="24" t="str">
        <x:f>IF(D185="","",INT((TODAY()-D185)/7))</x:f>
      </x:c>
      <x:c r="I185" s="24"/>
    </x:row>
    <x:row r="186">
      <x:c r="A186" s="24"/>
      <x:c r="B186" s="24"/>
      <x:c r="C186" s="24"/>
      <x:c r="D186" s="26"/>
      <x:c r="E186" s="26"/>
      <x:c r="F186" s="26" t="str">
        <x:f>IF(D186="","",D186+7)</x:f>
      </x:c>
      <x:c r="G186" s="26" t="str">
        <x:f>IF(D186="","",EDATE(D186,2))</x:f>
      </x:c>
      <x:c r="H186" s="24" t="str">
        <x:f>IF(D186="","",INT((TODAY()-D186)/7))</x:f>
      </x:c>
      <x:c r="I186" s="24"/>
    </x:row>
    <x:row r="187">
      <x:c r="A187" s="24"/>
      <x:c r="B187" s="24"/>
      <x:c r="C187" s="24"/>
      <x:c r="D187" s="26"/>
      <x:c r="E187" s="26"/>
      <x:c r="F187" s="26" t="str">
        <x:f>IF(D187="","",D187+7)</x:f>
      </x:c>
      <x:c r="G187" s="26" t="str">
        <x:f>IF(D187="","",EDATE(D187,2))</x:f>
      </x:c>
      <x:c r="H187" s="24" t="str">
        <x:f>IF(D187="","",INT((TODAY()-D187)/7))</x:f>
      </x:c>
      <x:c r="I187" s="24"/>
    </x:row>
    <x:row r="188">
      <x:c r="A188" s="24"/>
      <x:c r="B188" s="24"/>
      <x:c r="C188" s="24"/>
      <x:c r="D188" s="26"/>
      <x:c r="E188" s="26"/>
      <x:c r="F188" s="26" t="str">
        <x:f>IF(D188="","",D188+7)</x:f>
      </x:c>
      <x:c r="G188" s="26" t="str">
        <x:f>IF(D188="","",EDATE(D188,2))</x:f>
      </x:c>
      <x:c r="H188" s="24" t="str">
        <x:f>IF(D188="","",INT((TODAY()-D188)/7))</x:f>
      </x:c>
      <x:c r="I188" s="24"/>
    </x:row>
    <x:row r="189">
      <x:c r="A189" s="24"/>
      <x:c r="B189" s="24"/>
      <x:c r="C189" s="24"/>
      <x:c r="D189" s="26"/>
      <x:c r="E189" s="26"/>
      <x:c r="F189" s="26" t="str">
        <x:f>IF(D189="","",D189+7)</x:f>
      </x:c>
      <x:c r="G189" s="26" t="str">
        <x:f>IF(D189="","",EDATE(D189,2))</x:f>
      </x:c>
      <x:c r="H189" s="24" t="str">
        <x:f>IF(D189="","",INT((TODAY()-D189)/7))</x:f>
      </x:c>
      <x:c r="I189" s="24"/>
    </x:row>
    <x:row r="190">
      <x:c r="A190" s="24"/>
      <x:c r="B190" s="24"/>
      <x:c r="C190" s="24"/>
      <x:c r="D190" s="26"/>
      <x:c r="E190" s="26"/>
      <x:c r="F190" s="26" t="str">
        <x:f>IF(D190="","",D190+7)</x:f>
      </x:c>
      <x:c r="G190" s="26" t="str">
        <x:f>IF(D190="","",EDATE(D190,2))</x:f>
      </x:c>
      <x:c r="H190" s="24" t="str">
        <x:f>IF(D190="","",INT((TODAY()-D190)/7))</x:f>
      </x:c>
      <x:c r="I190" s="24"/>
    </x:row>
    <x:row r="191">
      <x:c r="A191" s="24"/>
      <x:c r="B191" s="24"/>
      <x:c r="C191" s="24"/>
      <x:c r="D191" s="26"/>
      <x:c r="E191" s="26"/>
      <x:c r="F191" s="26" t="str">
        <x:f>IF(D191="","",D191+7)</x:f>
      </x:c>
      <x:c r="G191" s="26" t="str">
        <x:f>IF(D191="","",EDATE(D191,2))</x:f>
      </x:c>
      <x:c r="H191" s="24" t="str">
        <x:f>IF(D191="","",INT((TODAY()-D191)/7))</x:f>
      </x:c>
      <x:c r="I191" s="24"/>
    </x:row>
    <x:row r="192">
      <x:c r="A192" s="24"/>
      <x:c r="B192" s="24"/>
      <x:c r="C192" s="24"/>
      <x:c r="D192" s="26"/>
      <x:c r="E192" s="26"/>
      <x:c r="F192" s="26" t="str">
        <x:f>IF(D192="","",D192+7)</x:f>
      </x:c>
      <x:c r="G192" s="26" t="str">
        <x:f>IF(D192="","",EDATE(D192,2))</x:f>
      </x:c>
      <x:c r="H192" s="24" t="str">
        <x:f>IF(D192="","",INT((TODAY()-D192)/7))</x:f>
      </x:c>
      <x:c r="I192" s="24"/>
    </x:row>
    <x:row r="193">
      <x:c r="A193" s="24"/>
      <x:c r="B193" s="24"/>
      <x:c r="C193" s="24"/>
      <x:c r="D193" s="26"/>
      <x:c r="E193" s="26"/>
      <x:c r="F193" s="26" t="str">
        <x:f>IF(D193="","",D193+7)</x:f>
      </x:c>
      <x:c r="G193" s="26" t="str">
        <x:f>IF(D193="","",EDATE(D193,2))</x:f>
      </x:c>
      <x:c r="H193" s="24" t="str">
        <x:f>IF(D193="","",INT((TODAY()-D193)/7))</x:f>
      </x:c>
      <x:c r="I193" s="24"/>
    </x:row>
    <x:row r="194">
      <x:c r="A194" s="24"/>
      <x:c r="B194" s="24"/>
      <x:c r="C194" s="24"/>
      <x:c r="D194" s="26"/>
      <x:c r="E194" s="26"/>
      <x:c r="F194" s="26" t="str">
        <x:f>IF(D194="","",D194+7)</x:f>
      </x:c>
      <x:c r="G194" s="26" t="str">
        <x:f>IF(D194="","",EDATE(D194,2))</x:f>
      </x:c>
      <x:c r="H194" s="24" t="str">
        <x:f>IF(D194="","",INT((TODAY()-D194)/7))</x:f>
      </x:c>
      <x:c r="I194" s="24"/>
    </x:row>
    <x:row r="195">
      <x:c r="A195" s="24"/>
      <x:c r="B195" s="24"/>
      <x:c r="C195" s="24"/>
      <x:c r="D195" s="26"/>
      <x:c r="E195" s="26"/>
      <x:c r="F195" s="26" t="str">
        <x:f>IF(D195="","",D195+7)</x:f>
      </x:c>
      <x:c r="G195" s="26" t="str">
        <x:f>IF(D195="","",EDATE(D195,2))</x:f>
      </x:c>
      <x:c r="H195" s="24" t="str">
        <x:f>IF(D195="","",INT((TODAY()-D195)/7))</x:f>
      </x:c>
      <x:c r="I195" s="24"/>
    </x:row>
    <x:row r="196">
      <x:c r="A196" s="24"/>
      <x:c r="B196" s="24"/>
      <x:c r="C196" s="24"/>
      <x:c r="D196" s="26"/>
      <x:c r="E196" s="26"/>
      <x:c r="F196" s="26" t="str">
        <x:f>IF(D196="","",D196+7)</x:f>
      </x:c>
      <x:c r="G196" s="26" t="str">
        <x:f>IF(D196="","",EDATE(D196,2))</x:f>
      </x:c>
      <x:c r="H196" s="24" t="str">
        <x:f>IF(D196="","",INT((TODAY()-D196)/7))</x:f>
      </x:c>
      <x:c r="I196" s="24"/>
    </x:row>
    <x:row r="197">
      <x:c r="A197" s="24"/>
      <x:c r="B197" s="24"/>
      <x:c r="C197" s="24"/>
      <x:c r="D197" s="26"/>
      <x:c r="E197" s="26"/>
      <x:c r="F197" s="26" t="str">
        <x:f>IF(D197="","",D197+7)</x:f>
      </x:c>
      <x:c r="G197" s="26" t="str">
        <x:f>IF(D197="","",EDATE(D197,2))</x:f>
      </x:c>
      <x:c r="H197" s="24" t="str">
        <x:f>IF(D197="","",INT((TODAY()-D197)/7))</x:f>
      </x:c>
      <x:c r="I197" s="24"/>
    </x:row>
    <x:row r="198">
      <x:c r="A198" s="24"/>
      <x:c r="B198" s="24"/>
      <x:c r="C198" s="24"/>
      <x:c r="D198" s="26"/>
      <x:c r="E198" s="26"/>
      <x:c r="F198" s="26" t="str">
        <x:f>IF(D198="","",D198+7)</x:f>
      </x:c>
      <x:c r="G198" s="26" t="str">
        <x:f>IF(D198="","",EDATE(D198,2))</x:f>
      </x:c>
      <x:c r="H198" s="24" t="str">
        <x:f>IF(D198="","",INT((TODAY()-D198)/7))</x:f>
      </x:c>
      <x:c r="I198" s="24"/>
    </x:row>
    <x:row r="199">
      <x:c r="A199" s="24"/>
      <x:c r="B199" s="24"/>
      <x:c r="C199" s="24"/>
      <x:c r="D199" s="26"/>
      <x:c r="E199" s="26"/>
      <x:c r="F199" s="26" t="str">
        <x:f>IF(D199="","",D199+7)</x:f>
      </x:c>
      <x:c r="G199" s="26" t="str">
        <x:f>IF(D199="","",EDATE(D199,2))</x:f>
      </x:c>
      <x:c r="H199" s="24" t="str">
        <x:f>IF(D199="","",INT((TODAY()-D199)/7))</x:f>
      </x:c>
      <x:c r="I199" s="24"/>
    </x:row>
    <x:row r="200">
      <x:c r="A200" s="24"/>
      <x:c r="B200" s="24"/>
      <x:c r="C200" s="24"/>
      <x:c r="D200" s="26"/>
      <x:c r="E200" s="26"/>
      <x:c r="F200" s="26" t="str">
        <x:f>IF(D200="","",D200+7)</x:f>
      </x:c>
      <x:c r="G200" s="26" t="str">
        <x:f>IF(D200="","",EDATE(D200,2))</x:f>
      </x:c>
      <x:c r="H200" s="24" t="str">
        <x:f>IF(D200="","",INT((TODAY()-D200)/7))</x:f>
      </x:c>
      <x:c r="I200" s="24"/>
    </x:row>
  </x:sheetData>
  <x:dataValidations count="1">
    <x:dataValidation type="list" sqref="E2:E200">
      <x:formula1>"改善中,測定中,良好,改善不要"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ブログ診断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3">
      <x:c r="A3" s="20" t="str">
        <x:v>良好記事数</x:v>
      </x:c>
      <x:c r="B3" s="20" t="n">
        <x:f>'Home'!B4</x:f>
        <x:v>0</x:v>
      </x:c>
      <x:c r="D3" s="13" t="str">
        <x:v>区分</x:v>
      </x:c>
      <x:c r="E3" s="13" t="str">
        <x:v>説明</x:v>
      </x:c>
      <x:c r="F3" s="13" t="str">
        <x:v>操作</x:v>
      </x:c>
    </x:row>
    <x:row r="4">
      <x:c r="A4" t="str">
        <x:v>改善中記事数</x:v>
      </x:c>
      <x:c r="B4" t="n">
        <x:f>'Home'!B5</x:f>
        <x:v>0</x:v>
      </x:c>
      <x:c r="D4" t="str">
        <x:v>良好</x:v>
      </x:c>
      <x:c r="E4" t="str">
        <x:v>当面の改善不要。通常取得で再判定。</x:v>
      </x:c>
      <x:c r="F4" t="str">
        <x:v>確認のみ</x:v>
      </x:c>
    </x:row>
    <x:row r="5">
      <x:c r="A5" t="str">
        <x:v>改善候補数</x:v>
      </x:c>
      <x:c r="B5" t="n">
        <x:f>'Home'!B6</x:f>
        <x:v>0</x:v>
      </x:c>
      <x:c r="D5" t="str">
        <x:v>改善中</x:v>
      </x:c>
      <x:c r="E5" t="str">
        <x:v>改善実施後、週1回・最大2か月測定。</x:v>
      </x:c>
      <x:c r="F5" t="str">
        <x:v>再修正時は実施日更新</x:v>
      </x:c>
    </x:row>
    <x:row r="6">
      <x:c r="A6" t="str">
        <x:v>今日の改善数</x:v>
      </x:c>
      <x:c r="B6" t="n">
        <x:v>2</x:v>
      </x:c>
      <x:c r="D6" t="str">
        <x:v>改善候補</x:v>
      </x:c>
      <x:c r="E6" t="str">
        <x:v>良好・改善中・測定中・改善不要を除外して抽出。</x:v>
      </x:c>
      <x:c r="F6" t="str">
        <x:v>今日の改善へ補充</x:v>
      </x:c>
    </x:row>
    <x:row r="7">
      <x:c r="D7" t="str">
        <x:v>改善不要</x:v>
      </x:c>
      <x:c r="E7" t="str">
        <x:v>一時的に候補から外す。</x:v>
      </x:c>
      <x:c r="F7" t="str">
        <x:v>必要に応じて通常運用で再判定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開始時刻</x:v>
      </x:c>
      <x:c r="B1" s="40" t="str">
        <x:v>処理名</x:v>
      </x:c>
      <x:c r="C1" s="40" t="str">
        <x:v>終了時刻</x:v>
      </x:c>
      <x:c r="D1" s="40" t="str">
        <x:v>利用者待ち時間（秒）</x:v>
      </x:c>
      <x:c r="E1" s="40" t="str">
        <x:v>件数</x:v>
      </x:c>
      <x:c r="F1" s="40" t="str">
        <x:v>結果</x:v>
      </x:c>
      <x:c r="G1" s="40" t="str">
        <x:v>メモ</x:v>
      </x:c>
      <x:c r="H1" s="35"/>
      <x:c r="I1" s="35"/>
      <x:c r="J1" s="35"/>
      <x:c r="K1" s="35"/>
    </x:row>
    <x:row r="2">
      <x:c r="A2" s="28"/>
      <x:c r="B2" s="28"/>
      <x:c r="C2" s="28"/>
    </x:row>
    <x:row r="3">
      <x:c r="A3" s="28"/>
      <x:c r="B3" s="28"/>
      <x:c r="C3" s="28"/>
    </x:row>
    <x:row r="4">
      <x:c r="A4" s="28"/>
      <x:c r="B4" s="28"/>
      <x:c r="C4" s="28"/>
    </x:row>
    <x:row r="5">
      <x:c r="A5" s="28"/>
      <x:c r="B5" s="28"/>
      <x:c r="C5" s="28"/>
    </x:row>
    <x:row r="6">
      <x:c r="A6" s="28"/>
      <x:c r="B6" s="28"/>
      <x:c r="C6" s="28"/>
    </x:row>
    <x:row r="7">
      <x:c r="A7" s="28"/>
      <x:c r="B7" s="28"/>
      <x:c r="C7" s="28"/>
    </x:row>
    <x:row r="8">
      <x:c r="A8" s="28"/>
      <x:c r="B8" s="28"/>
      <x:c r="C8" s="28"/>
    </x:row>
    <x:row r="9">
      <x:c r="A9" s="28"/>
      <x:c r="B9" s="28"/>
      <x:c r="C9" s="28"/>
    </x:row>
    <x:row r="10">
      <x:c r="A10" s="28"/>
      <x:c r="B10" s="28"/>
      <x:c r="C10" s="28"/>
    </x:row>
    <x:row r="11">
      <x:c r="A11" s="28"/>
      <x:c r="B11" s="28"/>
      <x:c r="C11" s="28"/>
    </x:row>
    <x:row r="12">
      <x:c r="A12" s="28"/>
      <x:c r="B12" s="28"/>
      <x:c r="C12" s="28"/>
    </x:row>
    <x:row r="13">
      <x:c r="A13" s="28"/>
      <x:c r="B13" s="28"/>
      <x:c r="C13" s="28"/>
    </x:row>
    <x:row r="14">
      <x:c r="A14" s="28"/>
      <x:c r="B14" s="28"/>
      <x:c r="C14" s="28"/>
    </x:row>
    <x:row r="15">
      <x:c r="A15" s="28"/>
      <x:c r="B15" s="28"/>
      <x:c r="C15" s="28"/>
    </x:row>
    <x:row r="16">
      <x:c r="A16" s="28"/>
      <x:c r="B16" s="28"/>
      <x:c r="C16" s="28"/>
    </x:row>
    <x:row r="17">
      <x:c r="A17" s="28"/>
      <x:c r="B17" s="28"/>
      <x:c r="C17" s="28"/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8"/>
      <x:c r="B20" s="28"/>
      <x:c r="C20" s="28"/>
    </x:row>
    <x:row r="21">
      <x:c r="A21" s="28"/>
      <x:c r="B21" s="28"/>
      <x:c r="C21" s="28"/>
    </x:row>
    <x:row r="22">
      <x:c r="A22" s="28"/>
      <x:c r="B22" s="28"/>
      <x:c r="C22" s="28"/>
    </x:row>
    <x:row r="23">
      <x:c r="A23" s="28"/>
      <x:c r="B23" s="28"/>
      <x:c r="C23" s="28"/>
    </x:row>
    <x:row r="24">
      <x:c r="A24" s="28"/>
      <x:c r="B24" s="28"/>
      <x:c r="C24" s="28"/>
    </x:row>
    <x:row r="25">
      <x:c r="A25" s="28"/>
      <x:c r="B25" s="28"/>
      <x:c r="C25" s="28"/>
    </x:row>
    <x:row r="26">
      <x:c r="A26" s="28"/>
      <x:c r="B26" s="28"/>
      <x:c r="C26" s="28"/>
    </x:row>
    <x:row r="27">
      <x:c r="A27" s="28"/>
      <x:c r="B27" s="28"/>
      <x:c r="C27" s="28"/>
    </x:row>
    <x:row r="28">
      <x:c r="A28" s="28"/>
      <x:c r="B28" s="28"/>
      <x:c r="C28" s="28"/>
    </x:row>
    <x:row r="29">
      <x:c r="A29" s="28"/>
      <x:c r="B29" s="28"/>
      <x:c r="C29" s="28"/>
    </x:row>
    <x:row r="30">
      <x:c r="A30" s="28"/>
      <x:c r="B30" s="28"/>
      <x:c r="C30" s="28"/>
    </x:row>
    <x:row r="31">
      <x:c r="A31" s="28"/>
      <x:c r="B31" s="28"/>
      <x:c r="C31" s="28"/>
    </x:row>
    <x:row r="32">
      <x:c r="A32" s="28"/>
      <x:c r="B32" s="28"/>
      <x:c r="C32" s="28"/>
    </x:row>
    <x:row r="33">
      <x:c r="A33" s="28"/>
      <x:c r="B33" s="28"/>
      <x:c r="C33" s="28"/>
    </x:row>
    <x:row r="34">
      <x:c r="A34" s="28"/>
      <x:c r="B34" s="28"/>
      <x:c r="C34" s="28"/>
    </x:row>
    <x:row r="35">
      <x:c r="A35" s="28"/>
      <x:c r="B35" s="28"/>
      <x:c r="C35" s="28"/>
    </x:row>
    <x:row r="36">
      <x:c r="A36" s="28"/>
      <x:c r="B36" s="28"/>
      <x:c r="C36" s="28"/>
    </x:row>
    <x:row r="37">
      <x:c r="A37" s="28"/>
      <x:c r="B37" s="28"/>
      <x:c r="C37" s="28"/>
    </x:row>
    <x:row r="38">
      <x:c r="A38" s="28"/>
      <x:c r="B38" s="28"/>
      <x:c r="C38" s="28"/>
    </x:row>
    <x:row r="39">
      <x:c r="A39" s="28"/>
      <x:c r="B39" s="28"/>
      <x:c r="C39" s="28"/>
    </x:row>
    <x:row r="40">
      <x:c r="A40" s="28"/>
      <x:c r="B40" s="28"/>
      <x:c r="C40" s="28"/>
    </x:row>
    <x:row r="41">
      <x:c r="A41" s="28"/>
      <x:c r="B41" s="28"/>
      <x:c r="C41" s="28"/>
    </x:row>
    <x:row r="42">
      <x:c r="A42" s="28"/>
      <x:c r="B42" s="28"/>
      <x:c r="C42" s="28"/>
    </x:row>
    <x:row r="43">
      <x:c r="A43" s="28"/>
      <x:c r="B43" s="28"/>
      <x:c r="C43" s="28"/>
    </x:row>
    <x:row r="44">
      <x:c r="A44" s="28"/>
      <x:c r="B44" s="28"/>
      <x:c r="C44" s="28"/>
    </x:row>
    <x:row r="45">
      <x:c r="A45" s="28"/>
      <x:c r="B45" s="28"/>
      <x:c r="C45" s="28"/>
    </x:row>
    <x:row r="46">
      <x:c r="A46" s="28"/>
      <x:c r="B46" s="28"/>
      <x:c r="C46" s="28"/>
    </x:row>
    <x:row r="47">
      <x:c r="A47" s="28"/>
      <x:c r="B47" s="28"/>
      <x:c r="C47" s="28"/>
    </x:row>
    <x:row r="48">
      <x:c r="A48" s="28"/>
      <x:c r="B48" s="28"/>
      <x:c r="C48" s="28"/>
    </x:row>
    <x:row r="49">
      <x:c r="A49" s="28"/>
      <x:c r="B49" s="28"/>
      <x:c r="C49" s="28"/>
    </x:row>
    <x:row r="50">
      <x:c r="A50" s="28"/>
      <x:c r="B50" s="28"/>
      <x:c r="C50" s="28"/>
    </x:row>
    <x:row r="51">
      <x:c r="A51" s="28"/>
      <x:c r="B51" s="28"/>
      <x:c r="C51" s="28"/>
    </x:row>
    <x:row r="52">
      <x:c r="A52" s="28"/>
      <x:c r="B52" s="28"/>
      <x:c r="C52" s="28"/>
    </x:row>
    <x:row r="53">
      <x:c r="A53" s="28"/>
      <x:c r="B53" s="28"/>
      <x:c r="C53" s="28"/>
    </x:row>
    <x:row r="54">
      <x:c r="A54" s="28"/>
      <x:c r="B54" s="28"/>
      <x:c r="C54" s="28"/>
    </x:row>
    <x:row r="55">
      <x:c r="A55" s="28"/>
      <x:c r="B55" s="28"/>
      <x:c r="C55" s="28"/>
    </x:row>
    <x:row r="56">
      <x:c r="A56" s="28"/>
      <x:c r="B56" s="28"/>
      <x:c r="C56" s="28"/>
    </x:row>
    <x:row r="57">
      <x:c r="A57" s="28"/>
      <x:c r="B57" s="28"/>
      <x:c r="C57" s="28"/>
    </x:row>
    <x:row r="58">
      <x:c r="A58" s="28"/>
      <x:c r="B58" s="28"/>
      <x:c r="C58" s="28"/>
    </x:row>
    <x:row r="59">
      <x:c r="A59" s="28"/>
      <x:c r="B59" s="28"/>
      <x:c r="C59" s="28"/>
    </x:row>
    <x:row r="60">
      <x:c r="A60" s="28"/>
      <x:c r="B60" s="28"/>
      <x:c r="C60" s="28"/>
    </x:row>
    <x:row r="61">
      <x:c r="A61" s="28"/>
      <x:c r="B61" s="28"/>
      <x:c r="C61" s="28"/>
    </x:row>
    <x:row r="62">
      <x:c r="A62" s="28"/>
      <x:c r="B62" s="28"/>
      <x:c r="C62" s="28"/>
    </x:row>
    <x:row r="63">
      <x:c r="A63" s="28"/>
      <x:c r="B63" s="28"/>
      <x:c r="C63" s="28"/>
    </x:row>
    <x:row r="64">
      <x:c r="A64" s="28"/>
      <x:c r="B64" s="28"/>
      <x:c r="C64" s="28"/>
    </x:row>
    <x:row r="65">
      <x:c r="A65" s="28"/>
      <x:c r="B65" s="28"/>
      <x:c r="C65" s="28"/>
    </x:row>
    <x:row r="66">
      <x:c r="A66" s="28"/>
      <x:c r="B66" s="28"/>
      <x:c r="C66" s="28"/>
    </x:row>
    <x:row r="67">
      <x:c r="A67" s="28"/>
      <x:c r="B67" s="28"/>
      <x:c r="C67" s="28"/>
    </x:row>
    <x:row r="68">
      <x:c r="A68" s="28"/>
      <x:c r="B68" s="28"/>
      <x:c r="C68" s="28"/>
    </x:row>
    <x:row r="69">
      <x:c r="A69" s="28"/>
      <x:c r="B69" s="28"/>
      <x:c r="C69" s="28"/>
    </x:row>
    <x:row r="70">
      <x:c r="A70" s="28"/>
      <x:c r="B70" s="28"/>
      <x:c r="C70" s="28"/>
    </x:row>
    <x:row r="71">
      <x:c r="A71" s="28"/>
      <x:c r="B71" s="28"/>
      <x:c r="C71" s="28"/>
    </x:row>
    <x:row r="72">
      <x:c r="A72" s="28"/>
      <x:c r="B72" s="28"/>
      <x:c r="C72" s="28"/>
    </x:row>
    <x:row r="73">
      <x:c r="A73" s="28"/>
      <x:c r="B73" s="28"/>
      <x:c r="C73" s="28"/>
    </x:row>
    <x:row r="74">
      <x:c r="A74" s="28"/>
      <x:c r="B74" s="28"/>
      <x:c r="C74" s="28"/>
    </x:row>
    <x:row r="75">
      <x:c r="A75" s="28"/>
      <x:c r="B75" s="28"/>
      <x:c r="C75" s="28"/>
    </x:row>
    <x:row r="76">
      <x:c r="A76" s="28"/>
      <x:c r="B76" s="28"/>
      <x:c r="C76" s="28"/>
    </x:row>
    <x:row r="77">
      <x:c r="A77" s="28"/>
      <x:c r="B77" s="28"/>
      <x:c r="C77" s="28"/>
    </x:row>
    <x:row r="78">
      <x:c r="A78" s="28"/>
      <x:c r="B78" s="28"/>
      <x:c r="C78" s="28"/>
    </x:row>
    <x:row r="79">
      <x:c r="A79" s="28"/>
      <x:c r="B79" s="28"/>
      <x:c r="C79" s="28"/>
    </x:row>
    <x:row r="80">
      <x:c r="A80" s="28"/>
      <x:c r="B80" s="28"/>
      <x:c r="C80" s="28"/>
    </x:row>
    <x:row r="81">
      <x:c r="A81" s="28"/>
      <x:c r="B81" s="28"/>
      <x:c r="C81" s="28"/>
    </x:row>
    <x:row r="82">
      <x:c r="A82" s="28"/>
      <x:c r="B82" s="28"/>
      <x:c r="C82" s="28"/>
    </x:row>
    <x:row r="83">
      <x:c r="A83" s="28"/>
      <x:c r="B83" s="28"/>
      <x:c r="C83" s="28"/>
    </x:row>
    <x:row r="84">
      <x:c r="A84" s="28"/>
      <x:c r="B84" s="28"/>
      <x:c r="C84" s="28"/>
    </x:row>
    <x:row r="85">
      <x:c r="A85" s="28"/>
      <x:c r="B85" s="28"/>
      <x:c r="C85" s="28"/>
    </x:row>
    <x:row r="86">
      <x:c r="A86" s="28"/>
      <x:c r="B86" s="28"/>
      <x:c r="C86" s="28"/>
    </x:row>
    <x:row r="87">
      <x:c r="A87" s="28"/>
      <x:c r="B87" s="28"/>
      <x:c r="C87" s="28"/>
    </x:row>
    <x:row r="88">
      <x:c r="A88" s="28"/>
      <x:c r="B88" s="28"/>
      <x:c r="C88" s="28"/>
    </x:row>
    <x:row r="89">
      <x:c r="A89" s="28"/>
      <x:c r="B89" s="28"/>
      <x:c r="C89" s="28"/>
    </x:row>
    <x:row r="90">
      <x:c r="A90" s="28"/>
      <x:c r="B90" s="28"/>
      <x:c r="C90" s="28"/>
    </x:row>
    <x:row r="91">
      <x:c r="A91" s="28"/>
      <x:c r="B91" s="28"/>
      <x:c r="C91" s="28"/>
    </x:row>
    <x:row r="92">
      <x:c r="A92" s="28"/>
      <x:c r="B92" s="28"/>
      <x:c r="C92" s="28"/>
    </x:row>
    <x:row r="93">
      <x:c r="A93" s="28"/>
      <x:c r="B93" s="28"/>
      <x:c r="C93" s="28"/>
    </x:row>
    <x:row r="94">
      <x:c r="A94" s="28"/>
      <x:c r="B94" s="28"/>
      <x:c r="C94" s="28"/>
    </x:row>
    <x:row r="95">
      <x:c r="A95" s="28"/>
      <x:c r="B95" s="28"/>
      <x:c r="C95" s="28"/>
    </x:row>
    <x:row r="96">
      <x:c r="A96" s="28"/>
      <x:c r="B96" s="28"/>
      <x:c r="C96" s="28"/>
    </x:row>
    <x:row r="97">
      <x:c r="A97" s="28"/>
      <x:c r="B97" s="28"/>
      <x:c r="C97" s="28"/>
    </x:row>
    <x:row r="98">
      <x:c r="A98" s="28"/>
      <x:c r="B98" s="28"/>
      <x:c r="C98" s="28"/>
    </x:row>
    <x:row r="99">
      <x:c r="A99" s="28"/>
      <x:c r="B99" s="28"/>
      <x:c r="C99" s="28"/>
    </x:row>
    <x:row r="100">
      <x:c r="A100" s="28"/>
      <x:c r="B100" s="28"/>
      <x:c r="C100" s="28"/>
    </x:row>
    <x:row r="101">
      <x:c r="A101" s="28"/>
      <x:c r="B101" s="28"/>
      <x:c r="C101" s="28"/>
    </x:row>
    <x:row r="102">
      <x:c r="A102" s="28"/>
      <x:c r="B102" s="28"/>
      <x:c r="C102" s="28"/>
    </x:row>
    <x:row r="103">
      <x:c r="A103" s="28"/>
      <x:c r="B103" s="28"/>
      <x:c r="C103" s="28"/>
    </x:row>
    <x:row r="104">
      <x:c r="A104" s="28"/>
      <x:c r="B104" s="28"/>
      <x:c r="C104" s="28"/>
    </x:row>
    <x:row r="105">
      <x:c r="A105" s="28"/>
      <x:c r="B105" s="28"/>
      <x:c r="C105" s="28"/>
    </x:row>
    <x:row r="106">
      <x:c r="A106" s="28"/>
      <x:c r="B106" s="28"/>
      <x:c r="C106" s="28"/>
    </x:row>
    <x:row r="107">
      <x:c r="A107" s="28"/>
      <x:c r="B107" s="28"/>
      <x:c r="C107" s="28"/>
    </x:row>
    <x:row r="108">
      <x:c r="A108" s="28"/>
      <x:c r="B108" s="28"/>
      <x:c r="C108" s="28"/>
    </x:row>
    <x:row r="109">
      <x:c r="A109" s="28"/>
      <x:c r="B109" s="28"/>
      <x:c r="C109" s="28"/>
    </x:row>
    <x:row r="110">
      <x:c r="A110" s="28"/>
      <x:c r="B110" s="28"/>
      <x:c r="C110" s="28"/>
    </x:row>
    <x:row r="111">
      <x:c r="A111" s="28"/>
      <x:c r="B111" s="28"/>
      <x:c r="C111" s="28"/>
    </x:row>
    <x:row r="112">
      <x:c r="A112" s="28"/>
      <x:c r="B112" s="28"/>
      <x:c r="C112" s="28"/>
    </x:row>
    <x:row r="113">
      <x:c r="A113" s="28"/>
      <x:c r="B113" s="28"/>
      <x:c r="C113" s="28"/>
    </x:row>
    <x:row r="114">
      <x:c r="A114" s="28"/>
      <x:c r="B114" s="28"/>
      <x:c r="C114" s="28"/>
    </x:row>
    <x:row r="115">
      <x:c r="A115" s="28"/>
      <x:c r="B115" s="28"/>
      <x:c r="C115" s="28"/>
    </x:row>
    <x:row r="116">
      <x:c r="A116" s="28"/>
      <x:c r="B116" s="28"/>
      <x:c r="C116" s="28"/>
    </x:row>
    <x:row r="117">
      <x:c r="A117" s="28"/>
      <x:c r="B117" s="28"/>
      <x:c r="C117" s="28"/>
    </x:row>
    <x:row r="118">
      <x:c r="A118" s="28"/>
      <x:c r="B118" s="28"/>
      <x:c r="C118" s="28"/>
    </x:row>
    <x:row r="119">
      <x:c r="A119" s="28"/>
      <x:c r="B119" s="28"/>
      <x:c r="C119" s="28"/>
    </x:row>
    <x:row r="120">
      <x:c r="A120" s="28"/>
      <x:c r="B120" s="28"/>
      <x:c r="C120" s="28"/>
    </x:row>
    <x:row r="121">
      <x:c r="A121" s="28"/>
      <x:c r="B121" s="28"/>
      <x:c r="C121" s="28"/>
    </x:row>
    <x:row r="122">
      <x:c r="A122" s="28"/>
      <x:c r="B122" s="28"/>
      <x:c r="C122" s="28"/>
    </x:row>
    <x:row r="123">
      <x:c r="A123" s="28"/>
      <x:c r="B123" s="28"/>
      <x:c r="C123" s="28"/>
    </x:row>
    <x:row r="124">
      <x:c r="A124" s="28"/>
      <x:c r="B124" s="28"/>
      <x:c r="C124" s="28"/>
    </x:row>
    <x:row r="125">
      <x:c r="A125" s="28"/>
      <x:c r="B125" s="28"/>
      <x:c r="C125" s="28"/>
    </x:row>
    <x:row r="126">
      <x:c r="A126" s="28"/>
      <x:c r="B126" s="28"/>
      <x:c r="C126" s="28"/>
    </x:row>
    <x:row r="127">
      <x:c r="A127" s="28"/>
      <x:c r="B127" s="28"/>
      <x:c r="C127" s="28"/>
    </x:row>
    <x:row r="128">
      <x:c r="A128" s="28"/>
      <x:c r="B128" s="28"/>
      <x:c r="C128" s="28"/>
    </x:row>
    <x:row r="129">
      <x:c r="A129" s="28"/>
      <x:c r="B129" s="28"/>
      <x:c r="C129" s="28"/>
    </x:row>
    <x:row r="130">
      <x:c r="A130" s="28"/>
      <x:c r="B130" s="28"/>
      <x:c r="C130" s="28"/>
    </x:row>
    <x:row r="131">
      <x:c r="A131" s="28"/>
      <x:c r="B131" s="28"/>
      <x:c r="C131" s="28"/>
    </x:row>
    <x:row r="132">
      <x:c r="A132" s="28"/>
      <x:c r="B132" s="28"/>
      <x:c r="C132" s="28"/>
    </x:row>
    <x:row r="133">
      <x:c r="A133" s="28"/>
      <x:c r="B133" s="28"/>
      <x:c r="C133" s="28"/>
    </x:row>
    <x:row r="134">
      <x:c r="A134" s="28"/>
      <x:c r="B134" s="28"/>
      <x:c r="C134" s="28"/>
    </x:row>
    <x:row r="135">
      <x:c r="A135" s="28"/>
      <x:c r="B135" s="28"/>
      <x:c r="C135" s="28"/>
    </x:row>
    <x:row r="136">
      <x:c r="A136" s="28"/>
      <x:c r="B136" s="28"/>
      <x:c r="C136" s="28"/>
    </x:row>
    <x:row r="137">
      <x:c r="A137" s="28"/>
      <x:c r="B137" s="28"/>
      <x:c r="C137" s="28"/>
    </x:row>
    <x:row r="138">
      <x:c r="A138" s="28"/>
      <x:c r="B138" s="28"/>
      <x:c r="C138" s="28"/>
    </x:row>
    <x:row r="139">
      <x:c r="A139" s="28"/>
      <x:c r="B139" s="28"/>
      <x:c r="C139" s="28"/>
    </x:row>
    <x:row r="140">
      <x:c r="A140" s="28"/>
      <x:c r="B140" s="28"/>
      <x:c r="C140" s="28"/>
    </x:row>
    <x:row r="141">
      <x:c r="A141" s="28"/>
      <x:c r="B141" s="28"/>
      <x:c r="C141" s="28"/>
    </x:row>
    <x:row r="142">
      <x:c r="A142" s="28"/>
      <x:c r="B142" s="28"/>
      <x:c r="C142" s="28"/>
    </x:row>
    <x:row r="143">
      <x:c r="A143" s="28"/>
      <x:c r="B143" s="28"/>
      <x:c r="C143" s="28"/>
    </x:row>
    <x:row r="144">
      <x:c r="A144" s="28"/>
      <x:c r="B144" s="28"/>
      <x:c r="C144" s="28"/>
    </x:row>
    <x:row r="145">
      <x:c r="A145" s="28"/>
      <x:c r="B145" s="28"/>
      <x:c r="C145" s="28"/>
    </x:row>
    <x:row r="146">
      <x:c r="A146" s="28"/>
      <x:c r="B146" s="28"/>
      <x:c r="C146" s="28"/>
    </x:row>
    <x:row r="147">
      <x:c r="A147" s="28"/>
      <x:c r="B147" s="28"/>
      <x:c r="C147" s="28"/>
    </x:row>
    <x:row r="148">
      <x:c r="A148" s="28"/>
      <x:c r="B148" s="28"/>
      <x:c r="C148" s="28"/>
    </x:row>
    <x:row r="149">
      <x:c r="A149" s="28"/>
      <x:c r="B149" s="28"/>
      <x:c r="C149" s="28"/>
    </x:row>
    <x:row r="150">
      <x:c r="A150" s="28"/>
      <x:c r="B150" s="28"/>
      <x:c r="C150" s="28"/>
    </x:row>
    <x:row r="151">
      <x:c r="A151" s="28"/>
      <x:c r="B151" s="28"/>
      <x:c r="C151" s="28"/>
    </x:row>
    <x:row r="152">
      <x:c r="A152" s="28"/>
      <x:c r="B152" s="28"/>
      <x:c r="C152" s="28"/>
    </x:row>
    <x:row r="153">
      <x:c r="A153" s="28"/>
      <x:c r="B153" s="28"/>
      <x:c r="C153" s="28"/>
    </x:row>
    <x:row r="154">
      <x:c r="A154" s="28"/>
      <x:c r="B154" s="28"/>
      <x:c r="C154" s="28"/>
    </x:row>
    <x:row r="155">
      <x:c r="A155" s="28"/>
      <x:c r="B155" s="28"/>
      <x:c r="C155" s="28"/>
    </x:row>
    <x:row r="156">
      <x:c r="A156" s="28"/>
      <x:c r="B156" s="28"/>
      <x:c r="C156" s="28"/>
    </x:row>
    <x:row r="157">
      <x:c r="A157" s="28"/>
      <x:c r="B157" s="28"/>
      <x:c r="C157" s="28"/>
    </x:row>
    <x:row r="158">
      <x:c r="A158" s="28"/>
      <x:c r="B158" s="28"/>
      <x:c r="C158" s="28"/>
    </x:row>
    <x:row r="159">
      <x:c r="A159" s="28"/>
      <x:c r="B159" s="28"/>
      <x:c r="C159" s="28"/>
    </x:row>
    <x:row r="160">
      <x:c r="A160" s="28"/>
      <x:c r="B160" s="28"/>
      <x:c r="C160" s="28"/>
    </x:row>
    <x:row r="161">
      <x:c r="A161" s="28"/>
      <x:c r="B161" s="28"/>
      <x:c r="C161" s="28"/>
    </x:row>
    <x:row r="162">
      <x:c r="A162" s="28"/>
      <x:c r="B162" s="28"/>
      <x:c r="C162" s="28"/>
    </x:row>
    <x:row r="163">
      <x:c r="A163" s="28"/>
      <x:c r="B163" s="28"/>
      <x:c r="C163" s="28"/>
    </x:row>
    <x:row r="164">
      <x:c r="A164" s="28"/>
      <x:c r="B164" s="28"/>
      <x:c r="C164" s="28"/>
    </x:row>
    <x:row r="165">
      <x:c r="A165" s="28"/>
      <x:c r="B165" s="28"/>
      <x:c r="C165" s="28"/>
    </x:row>
    <x:row r="166">
      <x:c r="A166" s="28"/>
      <x:c r="B166" s="28"/>
      <x:c r="C166" s="28"/>
    </x:row>
    <x:row r="167">
      <x:c r="A167" s="28"/>
      <x:c r="B167" s="28"/>
      <x:c r="C167" s="28"/>
    </x:row>
    <x:row r="168">
      <x:c r="A168" s="28"/>
      <x:c r="B168" s="28"/>
      <x:c r="C168" s="28"/>
    </x:row>
    <x:row r="169">
      <x:c r="A169" s="28"/>
      <x:c r="B169" s="28"/>
      <x:c r="C169" s="28"/>
    </x:row>
    <x:row r="170">
      <x:c r="A170" s="28"/>
      <x:c r="B170" s="28"/>
      <x:c r="C170" s="28"/>
    </x:row>
    <x:row r="171">
      <x:c r="A171" s="28"/>
      <x:c r="B171" s="28"/>
      <x:c r="C171" s="28"/>
    </x:row>
    <x:row r="172">
      <x:c r="A172" s="28"/>
      <x:c r="B172" s="28"/>
      <x:c r="C172" s="28"/>
    </x:row>
    <x:row r="173">
      <x:c r="A173" s="28"/>
      <x:c r="B173" s="28"/>
      <x:c r="C173" s="28"/>
    </x:row>
    <x:row r="174">
      <x:c r="A174" s="28"/>
      <x:c r="B174" s="28"/>
      <x:c r="C174" s="28"/>
    </x:row>
    <x:row r="175">
      <x:c r="A175" s="28"/>
      <x:c r="B175" s="28"/>
      <x:c r="C175" s="28"/>
    </x:row>
    <x:row r="176">
      <x:c r="A176" s="28"/>
      <x:c r="B176" s="28"/>
      <x:c r="C176" s="28"/>
    </x:row>
    <x:row r="177">
      <x:c r="A177" s="28"/>
      <x:c r="B177" s="28"/>
      <x:c r="C177" s="28"/>
    </x:row>
    <x:row r="178">
      <x:c r="A178" s="28"/>
      <x:c r="B178" s="28"/>
      <x:c r="C178" s="28"/>
    </x:row>
    <x:row r="179">
      <x:c r="A179" s="28"/>
      <x:c r="B179" s="28"/>
      <x:c r="C179" s="28"/>
    </x:row>
    <x:row r="180">
      <x:c r="A180" s="28"/>
      <x:c r="B180" s="28"/>
      <x:c r="C180" s="28"/>
    </x:row>
    <x:row r="181">
      <x:c r="A181" s="28"/>
      <x:c r="B181" s="28"/>
      <x:c r="C181" s="28"/>
    </x:row>
    <x:row r="182">
      <x:c r="A182" s="28"/>
      <x:c r="B182" s="28"/>
      <x:c r="C182" s="28"/>
    </x:row>
    <x:row r="183">
      <x:c r="A183" s="28"/>
      <x:c r="B183" s="28"/>
      <x:c r="C183" s="28"/>
    </x:row>
    <x:row r="184">
      <x:c r="A184" s="28"/>
      <x:c r="B184" s="28"/>
      <x:c r="C184" s="28"/>
    </x:row>
    <x:row r="185">
      <x:c r="A185" s="28"/>
      <x:c r="B185" s="28"/>
      <x:c r="C185" s="28"/>
    </x:row>
    <x:row r="186">
      <x:c r="A186" s="28"/>
      <x:c r="B186" s="28"/>
      <x:c r="C186" s="28"/>
    </x:row>
    <x:row r="187">
      <x:c r="A187" s="28"/>
      <x:c r="B187" s="28"/>
      <x:c r="C187" s="28"/>
    </x:row>
    <x:row r="188">
      <x:c r="A188" s="28"/>
      <x:c r="B188" s="28"/>
      <x:c r="C188" s="28"/>
    </x:row>
    <x:row r="189">
      <x:c r="A189" s="28"/>
      <x:c r="B189" s="28"/>
      <x:c r="C189" s="28"/>
    </x:row>
    <x:row r="190">
      <x:c r="A190" s="28"/>
      <x:c r="B190" s="28"/>
      <x:c r="C190" s="28"/>
    </x:row>
    <x:row r="191">
      <x:c r="A191" s="28"/>
      <x:c r="B191" s="28"/>
      <x:c r="C191" s="28"/>
    </x:row>
    <x:row r="192">
      <x:c r="A192" s="28"/>
      <x:c r="B192" s="28"/>
      <x:c r="C192" s="28"/>
    </x:row>
    <x:row r="193">
      <x:c r="A193" s="28"/>
      <x:c r="B193" s="28"/>
      <x:c r="C193" s="28"/>
    </x:row>
    <x:row r="194">
      <x:c r="A194" s="28"/>
      <x:c r="B194" s="28"/>
      <x:c r="C194" s="28"/>
    </x:row>
    <x:row r="195">
      <x:c r="A195" s="28"/>
      <x:c r="B195" s="28"/>
      <x:c r="C195" s="28"/>
    </x:row>
    <x:row r="196">
      <x:c r="A196" s="28"/>
      <x:c r="B196" s="28"/>
      <x:c r="C196" s="28"/>
    </x:row>
    <x:row r="197">
      <x:c r="A197" s="28"/>
      <x:c r="B197" s="28"/>
      <x:c r="C197" s="28"/>
    </x:row>
    <x:row r="198">
      <x:c r="A198" s="28"/>
      <x:c r="B198" s="28"/>
      <x:c r="C198" s="28"/>
    </x:row>
    <x:row r="199">
      <x:c r="A199" s="28"/>
      <x:c r="B199" s="28"/>
      <x:c r="C199" s="28"/>
    </x:row>
    <x:row r="200">
      <x:c r="A200" s="28"/>
      <x:c r="B200" s="28"/>
      <x:c r="C2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項目</x:v>
      </x:c>
      <x:c r="B1" s="40" t="str">
        <x:v>値</x:v>
      </x:c>
      <x:c r="C1" s="40" t="str">
        <x:v>説明</x:v>
      </x:c>
      <x:c r="D1" s="40" t="str">
        <x:v>編集可否</x:v>
      </x:c>
      <x:c r="E1" s="35"/>
      <x:c r="F1" s="35"/>
      <x:c r="G1" s="35"/>
      <x:c r="H1" s="35"/>
      <x:c r="I1" s="35"/>
      <x:c r="J1" s="35"/>
      <x:c r="K1" s="35"/>
    </x:row>
    <x:row r="2">
      <x:c r="A2" t="str">
        <x:v>Product Version</x:v>
      </x:c>
      <x:c r="B2" t="str">
        <x:v>5.2.10</x:v>
      </x:c>
      <x:c r="C2" t="str">
        <x:v>UI/UX改訂版。既存データ互換。</x:v>
      </x:c>
      <x:c r="D2" t="str">
        <x:v>不可</x:v>
      </x:c>
    </x:row>
    <x:row r="3">
      <x:c r="A3" t="str">
        <x:v>Candidate Limit</x:v>
      </x:c>
      <x:c r="B3" t="n">
        <x:v>10</x:v>
      </x:c>
      <x:c r="C3" t="str">
        <x:v>改善候補は10件で停止</x:v>
      </x:c>
      <x:c r="D3" t="str">
        <x:v>不可</x:v>
      </x:c>
    </x:row>
    <x:row r="4">
      <x:c r="A4" t="str">
        <x:v>Today Limit</x:v>
      </x:c>
      <x:c r="B4" t="n">
        <x:v>2</x:v>
      </x:c>
      <x:c r="C4" t="str">
        <x:v>今日の改善は初期2件、最大6件</x:v>
      </x:c>
      <x:c r="D4" t="str">
        <x:v>不可</x:v>
      </x:c>
    </x:row>
    <x:row r="5">
      <x:c r="A5" t="str">
        <x:v>Measurement Weeks</x:v>
      </x:c>
      <x:c r="B5" t="n">
        <x:v>4</x:v>
      </x:c>
      <x:c r="C5" t="str">
        <x:v>7日・14日・21日・28日の4回測定</x:v>
      </x:c>
      <x:c r="D5" t="str">
        <x:v>不可</x:v>
      </x:c>
    </x:row>
    <x:row r="6">
      <x:c r="A6" t="str">
        <x:v>Manual Site URL</x:v>
      </x:c>
      <x:c r="B6" t="str"/>
      <x:c r="C6" t="str">
        <x:v>マニュアルサイトURL</x:v>
      </x:c>
      <x:c r="D6" t="str">
        <x:v>可</x:v>
      </x:c>
    </x:row>
    <x:row r="7">
      <x:c r="A7" t="str">
        <x:v>Search Console Site URL</x:v>
      </x:c>
      <x:c r="B7" t="str"/>
      <x:c r="C7" t="str">
        <x:v>対象ブログURL</x:v>
      </x:c>
      <x:c r="D7" t="str">
        <x:v>可</x:v>
      </x:c>
    </x:row>
    <x:row r="8">
      <x:c r="A8" t="str">
        <x:v>Property Type</x:v>
      </x:c>
      <x:c r="B8" t="str">
        <x:v>URL-prefix</x:v>
      </x:c>
      <x:c r="C8" t="str">
        <x:v>Search Consoleプロパティ種別</x:v>
      </x:c>
      <x:c r="D8" t="str">
        <x:v>可</x:v>
      </x:c>
    </x:row>
    <x:row r="9">
      <x:c r="A9" t="str">
        <x:v>Last Daily Run</x:v>
      </x:c>
      <x:c r="B9" t="str"/>
      <x:c r="C9" t="str">
        <x:v>その日最初の起動判定用</x:v>
      </x:c>
      <x:c r="D9" t="str">
        <x:v>自動</x:v>
      </x:c>
    </x:row>
    <x:row r="10">
      <x:c r="A10" t="str">
        <x:v>Distribution Mode</x:v>
      </x:c>
      <x:c r="B10" t="str">
        <x:v>Lean ZIP + Spreadsheet Template + コード.gs</x:v>
      </x:c>
      <x:c r="C10" t="str">
        <x:v>必要最小限の配布物</x:v>
      </x:c>
      <x:c r="D10" t="str">
        <x:v>不可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取得日</x:v>
      </x:c>
      <x:c r="B1" s="40" t="str">
        <x:v>URL</x:v>
      </x:c>
      <x:c r="C1" s="40" t="str">
        <x:v>クエリ</x:v>
      </x:c>
      <x:c r="D1" s="40" t="str">
        <x:v>クリック</x:v>
      </x:c>
      <x:c r="E1" s="40" t="str">
        <x:v>表示回数</x:v>
      </x:c>
      <x:c r="F1" s="40" t="str">
        <x:v>CTR</x:v>
      </x:c>
      <x:c r="G1" s="40" t="str">
        <x:v>掲載順位</x:v>
      </x:c>
      <x:c r="H1" s="35"/>
      <x:c r="I1" s="35"/>
      <x:c r="J1" s="35"/>
      <x:c r="K1" s="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クリック</x:v>
      </x:c>
      <x:c r="F1" s="40" t="str">
        <x:v>表示回数</x:v>
      </x:c>
      <x:c r="G1" s="40" t="str">
        <x:v>掲載順位</x:v>
      </x:c>
      <x:c r="H1" s="40" t="str">
        <x:v>優先度</x:v>
      </x:c>
      <x:c r="I1" s="40" t="str">
        <x:v>状態</x:v>
      </x:c>
      <x:c r="J1" s="40" t="str">
        <x:v>抽出日</x:v>
      </x:c>
      <x:c r="K1" s="35"/>
    </x:row>
  </x:sheetData>
  <x:dataValidations count="1">
    <x:dataValidation type="list" sqref="I2:I500">
      <x:formula1>"改善候補,改善中,測定中,良好,改善不要"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測定終了日</x:v>
      </x:c>
      <x:c r="F1" s="40" t="str">
        <x:v>改善前クリック</x:v>
      </x:c>
      <x:c r="G1" s="40" t="str">
        <x:v>改善後クリック</x:v>
      </x:c>
      <x:c r="H1" s="40" t="str">
        <x:v>結果</x:v>
      </x:c>
      <x:c r="I1" s="40" t="str">
        <x:v>メモ</x:v>
      </x:c>
      <x:c r="J1" s="35"/>
      <x:c r="K1" s="35"/>
    </x:row>
  </x:sheetData>
  <x:pageMargins left="0.7" right="0.7" top="0.75" bottom="0.75" header="0.3" footer="0.3"/>
</x:worksheet>
</file>