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6552125d7b48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6fc33a1f713a465a"/>
    <x:sheet xmlns:r="http://schemas.openxmlformats.org/officeDocument/2006/relationships" name="今日の改善" sheetId="2" r:id="Rb8b33ffe38954ab9"/>
    <x:sheet xmlns:r="http://schemas.openxmlformats.org/officeDocument/2006/relationships" name="改善中" sheetId="3" r:id="R3f816bb506274693"/>
    <x:sheet xmlns:r="http://schemas.openxmlformats.org/officeDocument/2006/relationships" name="ブログ診断" sheetId="4" r:id="R9048189f3efd47c8"/>
    <x:sheet xmlns:r="http://schemas.openxmlformats.org/officeDocument/2006/relationships" name="処理ログ" sheetId="5" r:id="R7b2b3132cb2547f1"/>
    <x:sheet xmlns:r="http://schemas.openxmlformats.org/officeDocument/2006/relationships" name="設定" sheetId="6" r:id="R6ed0b4f365394cdd"/>
    <x:sheet xmlns:r="http://schemas.openxmlformats.org/officeDocument/2006/relationships" name="SearchConsole_Data" sheetId="7" r:id="R3885d4aadad84e78"/>
    <x:sheet xmlns:r="http://schemas.openxmlformats.org/officeDocument/2006/relationships" name="Improvement_Queue" sheetId="8" r:id="R1d3c6cd1b1c44e66"/>
    <x:sheet xmlns:r="http://schemas.openxmlformats.org/officeDocument/2006/relationships" name="Improvement_Log" sheetId="9" r:id="R1189022717c946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11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sz val="10"/>
      <x:color rgb="FF4B5563"/>
      <x:name val="Carlito"/>
    </x:font>
    <x:font>
      <x:b/>
      <x:sz val="11"/>
      <x:color rgb="FF1F4E79"/>
      <x:name val="Carlito"/>
    </x:font>
    <x:font>
      <x:b/>
      <x:sz val="20"/>
      <x:color rgb="FF111827"/>
      <x:name val="Carlito"/>
    </x:font>
    <x:font>
      <x:sz val="9"/>
      <x:color rgb="FF6B7280"/>
      <x:name val="Carlito"/>
    </x:font>
    <x:font>
      <x:b/>
      <x:sz val="11"/>
      <x:color rgb="FF111827"/>
      <x:name val="Carlito"/>
    </x:font>
    <x:font>
      <x:b/>
      <x:sz val="11"/>
      <x:name val="Carlito"/>
    </x:font>
    <x:font>
      <x:sz val="11"/>
      <x:color rgb="FF9A3412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3F4F6"/>
      </x:patternFill>
    </x:fill>
    <x:fill>
      <x:patternFill patternType="solid">
        <x:fgColor rgb="FFE5E7EB"/>
      </x:patternFill>
    </x:fill>
    <x:fill>
      <x:patternFill patternType="solid">
        <x:fgColor rgb="FFFFF7ED"/>
      </x:patternFill>
    </x:fill>
  </x:fills>
  <x:borders count="5">
    <x:border/>
    <x:border/>
    <x:border>
      <x:bottom style="thin">
        <x:color rgb="FFB7C9D6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/>
    <x:xf numFmtId="0" fontId="1" fillId="5" borderId="0" xfId="0" applyNumberFormat="1" applyFont="1" applyFill="1" applyBorder="1" applyAlignment="1">
      <x:alignment horizontal="left" vertical="top" wrapText="1"/>
    </x:xf>
    <x:xf numFmtId="0" fontId="0" fillId="5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2" xfId="0" applyNumberFormat="1" applyFont="1" applyFill="1" applyBorder="1"/>
    <x:xf numFmtId="0" fontId="5" fillId="6" borderId="2" xfId="0" applyNumberFormat="1" applyFont="1" applyFill="1" applyBorder="1" applyAlignment="1">
      <x:alignment horizontal="center"/>
    </x:xf>
    <x:xf numFmtId="0" fontId="5" fillId="6" borderId="2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/>
    </x:xf>
    <x:xf numFmtId="0" fontId="5" fillId="6" borderId="0" xfId="0" applyNumberFormat="1" applyFont="1" applyFill="1" applyBorder="1" applyAlignment="1">
      <x:alignment horizontal="left"/>
    </x:xf>
    <x:xf numFmtId="0" fontId="5" fillId="6" borderId="2" xfId="0" applyNumberFormat="1" applyFont="1" applyFill="1" applyBorder="1" applyAlignment="1">
      <x:alignment horizontal="left"/>
    </x:xf>
    <x:xf numFmtId="0" fontId="6" fillId="0" borderId="0" xfId="0" applyNumberFormat="1" applyFont="1" applyFill="1" applyBorder="1"/>
    <x:xf numFmtId="0" fontId="6" fillId="0" borderId="3" xfId="0" applyNumberFormat="1" applyFont="1" applyFill="1" applyBorder="1"/>
    <x:xf numFmtId="0" fontId="6" fillId="0" borderId="3" xfId="0" applyNumberFormat="1" applyFont="1" applyFill="1" applyBorder="1" applyAlignment="1">
      <x:alignment horizontal="center"/>
    </x:xf>
    <x:xf numFmtId="0" fontId="6" fillId="0" borderId="3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 applyAlignment="1">
      <x:alignment horizontal="center" vertical="center"/>
    </x:xf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horizontal="left" vertical="center"/>
    </x:xf>
    <x:xf numFmtId="0" fontId="8" fillId="7" borderId="0" xfId="0" applyNumberFormat="1" applyFont="1" applyFill="1" applyBorder="1" applyAlignment="1">
      <x:alignment horizontal="left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200" fontId="0" fillId="0" borderId="4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59ad9098764b0d" /><Relationship Type="http://schemas.openxmlformats.org/officeDocument/2006/relationships/theme" Target="/xl/theme/theme1.xml" Id="R98f5e7e0a0e44c25" /><Relationship Type="http://schemas.openxmlformats.org/officeDocument/2006/relationships/sharedStrings" Target="/xl/sharedStrings.xml" Id="R35ba3ad39ba04a44" /><Relationship Type="http://schemas.openxmlformats.org/officeDocument/2006/relationships/worksheet" Target="/xl/worksheets/sheet1.xml" Id="R6fc33a1f713a465a" /><Relationship Type="http://schemas.openxmlformats.org/officeDocument/2006/relationships/worksheet" Target="/xl/worksheets/sheet2.xml" Id="Rb8b33ffe38954ab9" /><Relationship Type="http://schemas.openxmlformats.org/officeDocument/2006/relationships/worksheet" Target="/xl/worksheets/sheet3.xml" Id="R3f816bb506274693" /><Relationship Type="http://schemas.openxmlformats.org/officeDocument/2006/relationships/worksheet" Target="/xl/worksheets/sheet4.xml" Id="R9048189f3efd47c8" /><Relationship Type="http://schemas.openxmlformats.org/officeDocument/2006/relationships/worksheet" Target="/xl/worksheets/sheet5.xml" Id="R7b2b3132cb2547f1" /><Relationship Type="http://schemas.openxmlformats.org/officeDocument/2006/relationships/worksheet" Target="/xl/worksheets/sheet6.xml" Id="R6ed0b4f365394cdd" /><Relationship Type="http://schemas.openxmlformats.org/officeDocument/2006/relationships/worksheet" Target="/xl/worksheets/sheet7.xml" Id="R3885d4aadad84e78" /><Relationship Type="http://schemas.openxmlformats.org/officeDocument/2006/relationships/worksheet" Target="/xl/worksheets/sheet8.xml" Id="R1d3c6cd1b1c44e66" /><Relationship Type="http://schemas.openxmlformats.org/officeDocument/2006/relationships/worksheet" Target="/xl/worksheets/sheet9.xml" Id="R1189022717c946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" hidden="0" customWidth="1"/>
    <x:col min="4" max="4" width="8" hidden="0" customWidth="1"/>
    <x:col min="5" max="5" width="30" hidden="0" customWidth="1"/>
    <x:col min="6" max="6" width="16" hidden="0" customWidth="1"/>
    <x:col min="7" max="7" width="12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32" customHeight="1">
      <x:c r="A1" s="47" t="str">
        <x:v>SIMS-Blog-Manager Product 5.0 Official</x:v>
      </x:c>
      <x:c r="B1" s="47"/>
      <x:c r="C1" s="47"/>
      <x:c r="D1" s="47"/>
      <x:c r="E1" s="47"/>
      <x:c r="F1" s="47"/>
      <x:c r="G1" s="47"/>
      <x:c r="H1" s="47"/>
      <x:c r="I1" s="35"/>
      <x:c r="J1" s="35"/>
      <x:c r="K1" s="35"/>
    </x:row>
    <x:row r="2" ht="24" customHeight="1">
      <x:c r="A2" s="50" t="str">
        <x:v>毎日最初に見る画面：ブログ全体・改善状況・今日やることだけを表示します。</x:v>
      </x:c>
      <x:c r="B2" s="50"/>
      <x:c r="C2" s="50"/>
      <x:c r="D2" s="50"/>
      <x:c r="E2" s="50"/>
      <x:c r="F2" s="50"/>
      <x:c r="G2" s="50"/>
      <x:c r="H2" s="50"/>
    </x:row>
    <x:row r="3">
      <x:c r="A3" s="13"/>
      <x:c r="B3" s="13"/>
      <x:c r="C3" s="13"/>
      <x:c r="E3" s="13"/>
    </x:row>
    <x:row r="4" ht="24" customHeight="1">
      <x:c r="A4" s="55" t="str">
        <x:v>良好記事数</x:v>
      </x:c>
      <x:c r="B4" s="55"/>
      <x:c r="C4"/>
      <x:c r="D4" s="55" t="str">
        <x:v>改善中記事数</x:v>
      </x:c>
      <x:c r="E4" s="55"/>
      <x:c r="F4" s="20"/>
      <x:c r="G4" s="55" t="str">
        <x:v>改善候補数</x:v>
      </x:c>
      <x:c r="H4" s="55"/>
    </x:row>
    <x:row r="5" ht="34" customHeight="1">
      <x:c r="A5" s="62" t="n">
        <x:f>COUNTIF('ブログ診断'!$A:$A,"良好")</x:f>
        <x:v>0</x:v>
      </x:c>
      <x:c r="B5" s="62"/>
      <x:c r="C5"/>
      <x:c r="D5" s="62" t="n">
        <x:f>COUNTA('改善中'!$B$2:$B$1000)</x:f>
        <x:v>0</x:v>
      </x:c>
      <x:c r="E5" s="62"/>
      <x:c r="F5"/>
      <x:c r="G5" s="62" t="n">
        <x:f>COUNTIFS(Improvement_Queue!$B:$B,"&lt;&gt;",Improvement_Queue!$I:$I,"&lt;&gt;改善中",Improvement_Queue!$I:$I,"&lt;&gt;測定中",Improvement_Queue!$I:$I,"&lt;&gt;良好",Improvement_Queue!$I:$I,"&lt;&gt;改善不要")</x:f>
        <x:v>1</x:v>
      </x:c>
      <x:c r="H5" s="62"/>
    </x:row>
    <x:row r="6" ht="22" customHeight="1">
      <x:c r="A6" s="65" t="str">
        <x:v>当面の改善不要</x:v>
      </x:c>
      <x:c r="B6" s="65"/>
      <x:c r="C6"/>
      <x:c r="D6" s="65" t="str">
        <x:v>週1回・最大2か月測定</x:v>
      </x:c>
      <x:c r="E6" s="65"/>
      <x:c r="F6"/>
      <x:c r="G6" s="65" t="str">
        <x:v>最大30件まで抽出</x:v>
      </x:c>
      <x:c r="H6" s="65"/>
    </x:row>
    <x:row r="7">
      <x:c r="E7"/>
      <x:c r="F7"/>
      <x:c r="G7"/>
      <x:c r="H7"/>
    </x:row>
    <x:row r="8" ht="24" customHeight="1">
      <x:c r="A8" s="70" t="str">
        <x:v>改善作業の状況</x:v>
      </x:c>
      <x:c r="B8" s="70"/>
      <x:c r="C8" s="70"/>
      <x:c r="D8" s="70"/>
      <x:c r="E8" s="70"/>
      <x:c r="F8" s="70"/>
      <x:c r="G8" s="70"/>
      <x:c r="H8" s="70"/>
    </x:row>
    <x:row r="9" ht="24" customHeight="1">
      <x:c r="A9" s="74" t="str">
        <x:v>項目</x:v>
      </x:c>
      <x:c r="B9" s="74" t="str">
        <x:v>状況</x:v>
      </x:c>
      <x:c r="C9"/>
      <x:c r="D9" s="70" t="str">
        <x:v>今日やること</x:v>
      </x:c>
      <x:c r="E9" s="70"/>
      <x:c r="F9" s="70"/>
      <x:c r="G9" s="70"/>
      <x:c r="H9" s="70"/>
    </x:row>
    <x:row r="10" ht="24" customHeight="1">
      <x:c r="A10" s="77" t="str">
        <x:v>今日の改善残数</x:v>
      </x:c>
      <x:c r="B10" s="77" t="n">
        <x:f>COUNTIF('今日の改善'!$F$2:$F$6,"未着手")</x:f>
        <x:v>5</x:v>
      </x:c>
      <x:c r="C10"/>
      <x:c r="D10" s="74" t="str">
        <x:v>優先</x:v>
      </x:c>
      <x:c r="E10" s="74" t="str">
        <x:v>URL</x:v>
      </x:c>
      <x:c r="F10" s="74" t="str">
        <x:v>メインKW</x:v>
      </x:c>
      <x:c r="G10" s="74" t="str">
        <x:v>状態</x:v>
      </x:c>
      <x:c r="H10" s="74" t="str">
        <x:v>操作</x:v>
      </x:c>
    </x:row>
    <x:row r="11" ht="30" customHeight="1">
      <x:c r="A11" s="78" t="str">
        <x:v>測定中件数</x:v>
      </x:c>
      <x:c r="B11" s="78" t="n">
        <x:f>COUNTIF('改善中'!$E$2:$E$1000,"測定中")</x:f>
        <x:v>0</x:v>
      </x:c>
      <x:c r="C11"/>
      <x:c r="D11" s="81" t="str">
        <x:f>IF('今日の改善'!$B2="","",'今日の改善'!$A2)</x:f>
      </x:c>
      <x:c r="E11" s="81" t="str">
        <x:f>IF('今日の改善'!$B2="","",'今日の改善'!$B2)</x:f>
      </x:c>
      <x:c r="F11" s="81" t="str">
        <x:f>IF('今日の改善'!$B2="","",'今日の改善'!$C2)</x:f>
      </x:c>
      <x:c r="G11" s="81" t="str">
        <x:f>IF('今日の改善'!$B2="","",'今日の改善'!$F2)</x:f>
      </x:c>
      <x:c r="H11" s="81" t="str">
        <x:v>改善後、完了</x:v>
      </x:c>
    </x:row>
    <x:row r="12" ht="30" customHeight="1">
      <x:c r="A12" s="78" t="str">
        <x:v>今週の完了件数</x:v>
      </x:c>
      <x:c r="B12" s="78" t="n">
        <x:f>COUNTIFS(Improvement_Log!$E:$E,"&gt;="&amp;TODAY()-WEEKDAY(TODAY(),2)+1,Improvement_Log!$E:$E,"&lt;="&amp;TODAY())</x:f>
        <x:v>0</x:v>
      </x:c>
      <x:c r="C12"/>
      <x:c r="D12" s="82" t="str">
        <x:f>IF('今日の改善'!$B3="","",'今日の改善'!$A3)</x:f>
      </x:c>
      <x:c r="E12" s="82" t="str">
        <x:f>IF('今日の改善'!$B3="","",'今日の改善'!$B3)</x:f>
      </x:c>
      <x:c r="F12" s="82" t="str">
        <x:f>IF('今日の改善'!$B3="","",'今日の改善'!$C3)</x:f>
      </x:c>
      <x:c r="G12" s="82" t="str">
        <x:f>IF('今日の改善'!$B3="","",'今日の改善'!$F3)</x:f>
      </x:c>
      <x:c r="H12" s="82" t="str">
        <x:v>改善後、完了</x:v>
      </x:c>
    </x:row>
    <x:row r="13" ht="30" customHeight="1">
      <x:c r="A13" s="78" t="str">
        <x:v>最終データ更新</x:v>
      </x:c>
      <x:c r="B13" s="87" t="n">
        <x:f>IFERROR(MAX(SearchConsole_Data!$A:$A),"")</x:f>
        <x:v>0</x:v>
      </x:c>
      <x:c r="D13" s="82" t="str">
        <x:f>IF('今日の改善'!$B4="","",'今日の改善'!$A4)</x:f>
      </x:c>
      <x:c r="E13" s="82" t="str">
        <x:f>IF('今日の改善'!$B4="","",'今日の改善'!$B4)</x:f>
      </x:c>
      <x:c r="F13" s="82" t="str">
        <x:f>IF('今日の改善'!$B4="","",'今日の改善'!$C4)</x:f>
      </x:c>
      <x:c r="G13" s="82" t="str">
        <x:f>IF('今日の改善'!$B4="","",'今日の改善'!$F4)</x:f>
      </x:c>
      <x:c r="H13" s="82" t="str">
        <x:v>改善後、完了</x:v>
      </x:c>
    </x:row>
    <x:row r="14" ht="30" customHeight="1">
      <x:c r="A14" s="78" t="str">
        <x:v>最終処理結果</x:v>
      </x:c>
      <x:c r="B14" s="78" t="str">
        <x:f>IFERROR(INDEX('処理ログ'!$F:$F,MATCH(2,1/('処理ログ'!$F:$F&lt;&gt;""))),"")</x:f>
      </x:c>
      <x:c r="D14" s="82" t="str">
        <x:f>IF('今日の改善'!$B5="","",'今日の改善'!$A5)</x:f>
      </x:c>
      <x:c r="E14" s="82" t="str">
        <x:f>IF('今日の改善'!$B5="","",'今日の改善'!$B5)</x:f>
      </x:c>
      <x:c r="F14" s="82" t="str">
        <x:f>IF('今日の改善'!$B5="","",'今日の改善'!$C5)</x:f>
      </x:c>
      <x:c r="G14" s="82" t="str">
        <x:f>IF('今日の改善'!$B5="","",'今日の改善'!$F5)</x:f>
      </x:c>
      <x:c r="H14" s="82" t="str">
        <x:v>改善後、完了</x:v>
      </x:c>
    </x:row>
    <x:row r="15" ht="30" customHeight="1">
      <x:c r="D15" s="82" t="str">
        <x:f>IF('今日の改善'!$B6="","",'今日の改善'!$A6)</x:f>
      </x:c>
      <x:c r="E15" s="82" t="str">
        <x:f>IF('今日の改善'!$B6="","",'今日の改善'!$B6)</x:f>
      </x:c>
      <x:c r="F15" s="82" t="str">
        <x:f>IF('今日の改善'!$B6="","",'今日の改善'!$C6)</x:f>
      </x:c>
      <x:c r="G15" s="82" t="str">
        <x:f>IF('今日の改善'!$B6="","",'今日の改善'!$F6)</x:f>
      </x:c>
      <x:c r="H15" s="82" t="str">
        <x:v>改善後、完了</x:v>
      </x:c>
    </x:row>
    <x:row r="17" ht="36" customHeight="1">
      <x:c r="A17" s="86" t="str">
        <x:v>使い方：まずHomeで状況を確認し、今日の改善を開いて上位5件だけ対応します。完了後は改善中へ移動し、週1回・最大2か月測定します。</x:v>
      </x:c>
      <x:c r="B17" s="86"/>
      <x:c r="C17" s="86"/>
      <x:c r="D17" s="86"/>
      <x:c r="E17" s="86"/>
      <x:c r="F17" s="86"/>
      <x:c r="G17" s="86"/>
      <x:c r="H17" s="86"/>
    </x:row>
  </x:sheetData>
  <x:mergeCells>
    <x:mergeCell ref="A1:H1"/>
    <x:mergeCell ref="E3:H3"/>
    <x:mergeCell ref="A2:H2"/>
    <x:mergeCell ref="A4:B4"/>
    <x:mergeCell ref="D4:E4"/>
    <x:mergeCell ref="G4:H4"/>
    <x:mergeCell ref="A5:B5"/>
    <x:mergeCell ref="D5:E5"/>
    <x:mergeCell ref="G5:H5"/>
    <x:mergeCell ref="A6:B6"/>
    <x:mergeCell ref="D6:E6"/>
    <x:mergeCell ref="G6:H6"/>
    <x:mergeCell ref="A8:H8"/>
    <x:mergeCell ref="D9:H9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f>COUNTA('今日の改善'!A2:A6)</x:f>
        <x:v>5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5.0 Official</x:v>
      </x:c>
      <x:c r="C2" t="str">
        <x:v>正式版。RCではない。</x:v>
      </x:c>
      <x:c r="D2" t="str">
        <x:v>不可</x:v>
      </x:c>
    </x:row>
    <x:row r="3">
      <x:c r="A3" t="str">
        <x:v>Candidate Limit</x:v>
      </x:c>
      <x:c r="B3" t="n">
        <x:v>30</x:v>
      </x:c>
      <x:c r="C3" t="str">
        <x:v>改善候補は30件で停止</x:v>
      </x:c>
      <x:c r="D3" t="str">
        <x:v>不可</x:v>
      </x:c>
    </x:row>
    <x:row r="4">
      <x:c r="A4" t="str">
        <x:v>Today Limit</x:v>
      </x:c>
      <x:c r="B4" t="n">
        <x:v>5</x:v>
      </x:c>
      <x:c r="C4" t="str">
        <x:v>今日の改善は上位5件</x:v>
      </x:c>
      <x:c r="D4" t="str">
        <x:v>不可</x:v>
      </x:c>
    </x:row>
    <x:row r="5">
      <x:c r="A5" t="str">
        <x:v>Measurement Weeks</x:v>
      </x:c>
      <x:c r="B5" t="n">
        <x:v>8</x:v>
      </x:c>
      <x:c r="C5" t="str">
        <x:v>週1回・最大2か月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