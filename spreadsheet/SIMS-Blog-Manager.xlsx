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9db190195349f4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Home" sheetId="1" ns1:id="Rbf9b17eb7f704d3a"/>
    <sheet name="今日の改善" sheetId="2" ns1:id="R360653011a78458f"/>
    <sheet name="改善中" sheetId="3" ns1:id="R7764b58312754340"/>
    <sheet name="ブログ診断" sheetId="4" ns1:id="R6ad346414db54781"/>
    <sheet name="処理ログ" sheetId="5" ns1:id="Rdb636092630f4919"/>
    <sheet name="設定" sheetId="6" ns1:id="R5fd6d2bdd543499b" state="hidden"/>
    <sheet name="SearchConsole_Data" sheetId="7" ns1:id="R4d7533b2c69f458b" state="hidden"/>
    <sheet name="Improvement_Queue" sheetId="8" ns1:id="R9176cfff330c4b06" state="hidden"/>
    <sheet name="Improvement_Log" sheetId="9" ns1:id="R110f8c19d34d4160" state="hidden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53badd2d9347c9" /><Relationship Type="http://schemas.openxmlformats.org/officeDocument/2006/relationships/theme" Target="/xl/theme/theme1.xml" Id="R0f89fe6ad6e74d89" /><Relationship Type="http://schemas.openxmlformats.org/officeDocument/2006/relationships/sharedStrings" Target="/xl/sharedStrings.xml" Id="R123d5d32552d4d32" /><Relationship Type="http://schemas.openxmlformats.org/officeDocument/2006/relationships/worksheet" Target="/xl/worksheets/sheet1.xml" Id="Rbf9b17eb7f704d3a" /><Relationship Type="http://schemas.openxmlformats.org/officeDocument/2006/relationships/worksheet" Target="/xl/worksheets/sheet2.xml" Id="R360653011a78458f" /><Relationship Type="http://schemas.openxmlformats.org/officeDocument/2006/relationships/worksheet" Target="/xl/worksheets/sheet3.xml" Id="R7764b58312754340" /><Relationship Type="http://schemas.openxmlformats.org/officeDocument/2006/relationships/worksheet" Target="/xl/worksheets/sheet4.xml" Id="R6ad346414db54781" /><Relationship Type="http://schemas.openxmlformats.org/officeDocument/2006/relationships/worksheet" Target="/xl/worksheets/sheet5.xml" Id="Rdb636092630f4919" /><Relationship Type="http://schemas.openxmlformats.org/officeDocument/2006/relationships/worksheet" Target="/xl/worksheets/sheet6.xml" Id="R5fd6d2bdd543499b" /><Relationship Type="http://schemas.openxmlformats.org/officeDocument/2006/relationships/worksheet" Target="/xl/worksheets/sheet7.xml" Id="R4d7533b2c69f458b" /><Relationship Type="http://schemas.openxmlformats.org/officeDocument/2006/relationships/worksheet" Target="/xl/worksheets/sheet8.xml" Id="R9176cfff330c4b06" /><Relationship Type="http://schemas.openxmlformats.org/officeDocument/2006/relationships/worksheet" Target="/xl/worksheets/sheet9.xml" Id="R110f8c19d34d41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SIMS-Blog-Manager Product 5.0 Official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13" t="str">
        <x:v>ブログ全体の状況</x:v>
      </x:c>
      <x:c r="B3" s="13" t="str">
        <x:v>件数</x:v>
      </x:c>
      <x:c r="C3" s="13" t="str">
        <x:v>確認先</x:v>
      </x:c>
      <x:c r="E3" s="13" t="str">
        <x:v>今日やること</x:v>
      </x:c>
    </x:row>
    <x:row r="4">
      <x:c r="A4" t="str">
        <x:v>良好記事数</x:v>
      </x:c>
      <x:c r="B4" t="n">
        <x:f>COUNTIF('改善中'!E2:E200,"良好")+COUNTIF('Improvement_Log'!H2:H500,"良好")</x:f>
        <x:v>0</x:v>
      </x:c>
      <x:c r="C4" t="str">
        <x:v>ブログ診断</x:v>
      </x:c>
      <x:c r="E4" s="20" t="str">
        <x:v>優先</x:v>
      </x:c>
      <x:c r="F4" s="20" t="str">
        <x:v>URL</x:v>
      </x:c>
      <x:c r="G4" s="20" t="str">
        <x:v>メインKW</x:v>
      </x:c>
      <x:c r="H4" s="20" t="str">
        <x:v>状態</x:v>
      </x:c>
    </x:row>
    <x:row r="5">
      <x:c r="A5" t="str">
        <x:v>改善中記事数</x:v>
      </x:c>
      <x:c r="B5" t="n">
        <x:f>COUNTA('改善中'!A2:A200)</x:f>
        <x:v>0</x:v>
      </x:c>
      <x:c r="C5" t="str">
        <x:v>改善中</x:v>
      </x:c>
      <x:c r="E5" t="str">
        <x:v>1</x:v>
      </x:c>
      <x:c r="F5" t="str">
        <x:f>IFERROR('今日の改善'!B2,"")</x:f>
      </x:c>
      <x:c r="G5" t="str">
        <x:f>IFERROR('今日の改善'!C2,"")</x:f>
      </x:c>
      <x:c r="H5" t="str">
        <x:f>IFERROR('今日の改善'!F2,"")</x:f>
        <x:v>未着手</x:v>
      </x:c>
    </x:row>
    <x:row r="6">
      <x:c r="A6" t="str">
        <x:v>改善候補数</x:v>
      </x:c>
      <x:c r="B6" t="n">
        <x:f>COUNTA('Improvement_Queue'!A2:A500)</x:f>
        <x:v>0</x:v>
      </x:c>
      <x:c r="C6" t="str">
        <x:v>Improvement_Queue</x:v>
      </x:c>
      <x:c r="E6" t="str">
        <x:v>2</x:v>
      </x:c>
      <x:c r="F6" t="str">
        <x:f>IFERROR('今日の改善'!B3,"")</x:f>
      </x:c>
      <x:c r="G6" t="str">
        <x:f>IFERROR('今日の改善'!C3,"")</x:f>
      </x:c>
      <x:c r="H6" t="str">
        <x:f>IFERROR('今日の改善'!F3,"")</x:f>
        <x:v>未着手</x:v>
      </x:c>
    </x:row>
    <x:row r="7">
      <x:c r="E7" t="str">
        <x:v>3</x:v>
      </x:c>
      <x:c r="F7" t="str">
        <x:f>IFERROR('今日の改善'!B4,"")</x:f>
      </x:c>
      <x:c r="G7" t="str">
        <x:f>IFERROR('今日の改善'!C4,"")</x:f>
      </x:c>
      <x:c r="H7" t="str">
        <x:f>IFERROR('今日の改善'!F4,"")</x:f>
        <x:v>未着手</x:v>
      </x:c>
    </x:row>
    <x:row r="8">
      <x:c r="A8" s="13" t="str">
        <x:v>改善作業の状況</x:v>
      </x:c>
      <x:c r="B8" s="13" t="str">
        <x:v>内容</x:v>
      </x:c>
      <x:c r="C8" s="13" t="str">
        <x:v>備考</x:v>
      </x:c>
      <x:c r="E8" t="str">
        <x:v>4</x:v>
      </x:c>
      <x:c r="F8" t="str">
        <x:f>IFERROR('今日の改善'!B5,"")</x:f>
      </x:c>
      <x:c r="G8" t="str">
        <x:f>IFERROR('今日の改善'!C5,"")</x:f>
      </x:c>
      <x:c r="H8" t="str">
        <x:f>IFERROR('今日の改善'!F5,"")</x:f>
        <x:v>未着手</x:v>
      </x:c>
    </x:row>
    <x:row r="9">
      <x:c r="A9" t="str">
        <x:v>最終取得</x:v>
      </x:c>
      <x:c r="B9" t="n">
        <x:f>IFERROR(MAX('処理ログ'!A2:A200),"未実行")</x:f>
        <x:v>0</x:v>
      </x:c>
      <x:c r="C9" t="str">
        <x:v>Search Console</x:v>
      </x:c>
    </x:row>
    <x:row r="10">
      <x:c r="A10" t="str">
        <x:v>今日の改善残数</x:v>
      </x:c>
      <x:c r="B10" t="n">
        <x:f>COUNTA('今日の改善'!A2:A6)</x:f>
        <x:v>5</x:v>
      </x:c>
      <x:c r="C10" t="str">
        <x:v>5件を上限表示</x:v>
      </x:c>
    </x:row>
    <x:row r="11">
      <x:c r="A11" t="str">
        <x:v>測定対象</x:v>
      </x:c>
      <x:c r="B11" t="n">
        <x:f>COUNTA('改善中'!A2:A200)</x:f>
        <x:v>0</x:v>
      </x:c>
      <x:c r="C11" t="str">
        <x:v>週1回・最大2か月</x:v>
      </x:c>
    </x:row>
    <x:row r="12">
      <x:c r="A12" t="str">
        <x:v>最終ログ</x:v>
      </x:c>
      <x:c r="B12" t="str">
        <x:f>IFERROR(INDEX('処理ログ'!B2:B200,COUNTA('処理ログ'!B2:B200)),"なし")</x:f>
      </x:c>
      <x:c r="C12" t="str"/>
    </x:row>
  </x:sheetData>
  <x:mergeCells>
    <x:mergeCell ref="A1:H1"/>
    <x:mergeCell ref="E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f>COUNTA('今日の改善'!A2:A6)</x:f>
        <x:v>5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5.0 Official</x:v>
      </x:c>
      <x:c r="C2" t="str">
        <x:v>正式版。RCではない。</x:v>
      </x:c>
      <x:c r="D2" t="str">
        <x:v>不可</x:v>
      </x:c>
    </x:row>
    <x:row r="3">
      <x:c r="A3" t="str">
        <x:v>Candidate Limit</x:v>
      </x:c>
      <x:c r="B3" t="n">
        <x:v>30</x:v>
      </x:c>
      <x:c r="C3" t="str">
        <x:v>改善候補は30件で停止</x:v>
      </x:c>
      <x:c r="D3" t="str">
        <x:v>不可</x:v>
      </x:c>
    </x:row>
    <x:row r="4">
      <x:c r="A4" t="str">
        <x:v>Today Limit</x:v>
      </x:c>
      <x:c r="B4" t="n">
        <x:v>5</x:v>
      </x:c>
      <x:c r="C4" t="str">
        <x:v>今日の改善は上位5件</x:v>
      </x:c>
      <x:c r="D4" t="str">
        <x:v>不可</x:v>
      </x:c>
    </x:row>
    <x:row r="5">
      <x:c r="A5" t="str">
        <x:v>Measurement Weeks</x:v>
      </x:c>
      <x:c r="B5" t="n">
        <x:v>8</x:v>
      </x:c>
      <x:c r="C5" t="str">
        <x:v>週1回・最大2か月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