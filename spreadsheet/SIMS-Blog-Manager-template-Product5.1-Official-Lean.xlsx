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ae22b61f6b44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c08eb4ad80bc4b43"/>
    <x:sheet xmlns:r="http://schemas.openxmlformats.org/officeDocument/2006/relationships" name="今日の改善" sheetId="2" r:id="Rcf57ea8a41bc43f1"/>
    <x:sheet xmlns:r="http://schemas.openxmlformats.org/officeDocument/2006/relationships" name="改善中" sheetId="3" r:id="R73f71b38e5964a5e"/>
    <x:sheet xmlns:r="http://schemas.openxmlformats.org/officeDocument/2006/relationships" name="ブログ診断" sheetId="4" r:id="R8c12c91aa0c34731"/>
    <x:sheet xmlns:r="http://schemas.openxmlformats.org/officeDocument/2006/relationships" name="処理ログ" sheetId="5" r:id="Rb218529738974dc6"/>
    <x:sheet xmlns:r="http://schemas.openxmlformats.org/officeDocument/2006/relationships" name="設定" sheetId="6" r:id="R1c3e9ab51055444e"/>
    <x:sheet xmlns:r="http://schemas.openxmlformats.org/officeDocument/2006/relationships" name="SearchConsole_Data" sheetId="7" r:id="R92d3f9a763554438"/>
    <x:sheet xmlns:r="http://schemas.openxmlformats.org/officeDocument/2006/relationships" name="Improvement_Queue" sheetId="8" r:id="R43429f4a8a054f44"/>
    <x:sheet xmlns:r="http://schemas.openxmlformats.org/officeDocument/2006/relationships" name="Improvement_Log" sheetId="9" r:id="R9c97468ab63344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223d67572b4ea2" /><Relationship Type="http://schemas.openxmlformats.org/officeDocument/2006/relationships/theme" Target="/xl/theme/theme1.xml" Id="Rccb339282e294ca9" /><Relationship Type="http://schemas.openxmlformats.org/officeDocument/2006/relationships/sharedStrings" Target="/xl/sharedStrings.xml" Id="R6a307858f3eb4d98" /><Relationship Type="http://schemas.openxmlformats.org/officeDocument/2006/relationships/worksheet" Target="/xl/worksheets/sheet1.xml" Id="Rc08eb4ad80bc4b43" /><Relationship Type="http://schemas.openxmlformats.org/officeDocument/2006/relationships/worksheet" Target="/xl/worksheets/sheet2.xml" Id="Rcf57ea8a41bc43f1" /><Relationship Type="http://schemas.openxmlformats.org/officeDocument/2006/relationships/worksheet" Target="/xl/worksheets/sheet3.xml" Id="R73f71b38e5964a5e" /><Relationship Type="http://schemas.openxmlformats.org/officeDocument/2006/relationships/worksheet" Target="/xl/worksheets/sheet4.xml" Id="R8c12c91aa0c34731" /><Relationship Type="http://schemas.openxmlformats.org/officeDocument/2006/relationships/worksheet" Target="/xl/worksheets/sheet5.xml" Id="Rb218529738974dc6" /><Relationship Type="http://schemas.openxmlformats.org/officeDocument/2006/relationships/worksheet" Target="/xl/worksheets/sheet6.xml" Id="R1c3e9ab51055444e" /><Relationship Type="http://schemas.openxmlformats.org/officeDocument/2006/relationships/worksheet" Target="/xl/worksheets/sheet7.xml" Id="R92d3f9a763554438" /><Relationship Type="http://schemas.openxmlformats.org/officeDocument/2006/relationships/worksheet" Target="/xl/worksheets/sheet8.xml" Id="R43429f4a8a054f44" /><Relationship Type="http://schemas.openxmlformats.org/officeDocument/2006/relationships/worksheet" Target="/xl/worksheets/sheet9.xml" Id="R9c97468ab63344c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8" hidden="0" customWidth="1"/>
    <x:col min="4" max="4" width="1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SIMS-Blog-Manager Product 5.1.1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13" t="str">
        <x:v>ブログ全体の状況</x:v>
      </x:c>
      <x:c r="B3" s="13" t="str">
        <x:v>件数</x:v>
      </x:c>
      <x:c r="C3" s="13" t="str">
        <x:v>確認先</x:v>
      </x:c>
      <x:c r="E3" s="13" t="str">
        <x:v>今日やること</x:v>
      </x:c>
    </x:row>
    <x:row r="4">
      <x:c r="A4" t="str">
        <x:v>良好記事数</x:v>
      </x:c>
      <x:c r="B4" t="n">
        <x:f>COUNTIF('改善中'!E2:E200,"良好")+COUNTIF('Improvement_Log'!H2:H500,"良好")</x:f>
        <x:v>0</x:v>
      </x:c>
      <x:c r="C4" t="str">
        <x:v>ブログ診断</x:v>
      </x:c>
      <x:c r="E4" s="20" t="str">
        <x:v>優先</x:v>
      </x:c>
      <x:c r="F4" s="20" t="str">
        <x:v>URL</x:v>
      </x:c>
      <x:c r="G4" s="20" t="str">
        <x:v>メインKW</x:v>
      </x:c>
      <x:c r="H4" s="20" t="str">
        <x:v>状態</x:v>
      </x:c>
    </x:row>
    <x:row r="5">
      <x:c r="A5" t="str">
        <x:v>改善中記事数</x:v>
      </x:c>
      <x:c r="B5" t="n">
        <x:f>COUNTA('改善中'!A2:A200)</x:f>
        <x:v>0</x:v>
      </x:c>
      <x:c r="C5" t="str">
        <x:v>改善中</x:v>
      </x:c>
      <x:c r="E5" t="str">
        <x:v>1</x:v>
      </x:c>
      <x:c r="F5" t="str">
        <x:f>IFERROR('今日の改善'!B2,"")</x:f>
      </x:c>
      <x:c r="G5" t="str">
        <x:f>IFERROR('今日の改善'!C2,"")</x:f>
      </x:c>
      <x:c r="H5" t="str">
        <x:f>IFERROR('今日の改善'!F2,"")</x:f>
        <x:v>未着手</x:v>
      </x:c>
    </x:row>
    <x:row r="6">
      <x:c r="A6" t="str">
        <x:v>改善候補数</x:v>
      </x:c>
      <x:c r="B6" t="n">
        <x:f>COUNTA('Improvement_Queue'!A2:A500)</x:f>
        <x:v>0</x:v>
      </x:c>
      <x:c r="C6" t="str">
        <x:v>Improvement_Queue</x:v>
      </x:c>
      <x:c r="E6" t="str">
        <x:v>2</x:v>
      </x:c>
      <x:c r="F6" t="str">
        <x:f>IFERROR('今日の改善'!B3,"")</x:f>
      </x:c>
      <x:c r="G6" t="str">
        <x:f>IFERROR('今日の改善'!C3,"")</x:f>
      </x:c>
      <x:c r="H6" t="str">
        <x:f>IFERROR('今日の改善'!F3,"")</x:f>
        <x:v>未着手</x:v>
      </x:c>
    </x:row>
    <x:row r="7">
      <x:c r="E7" t="str">
        <x:v>3</x:v>
      </x:c>
      <x:c r="F7" t="str">
        <x:f>IFERROR('今日の改善'!B4,"")</x:f>
      </x:c>
      <x:c r="G7" t="str">
        <x:f>IFERROR('今日の改善'!C4,"")</x:f>
      </x:c>
      <x:c r="H7" t="str">
        <x:f>IFERROR('今日の改善'!F4,"")</x:f>
        <x:v>未着手</x:v>
      </x:c>
    </x:row>
    <x:row r="8">
      <x:c r="A8" s="13" t="str">
        <x:v>改善作業の状況</x:v>
      </x:c>
      <x:c r="B8" s="13" t="str">
        <x:v>内容</x:v>
      </x:c>
      <x:c r="C8" s="13" t="str">
        <x:v>備考</x:v>
      </x:c>
      <x:c r="E8" t="str">
        <x:v>4</x:v>
      </x:c>
      <x:c r="F8" t="str">
        <x:f>IFERROR('今日の改善'!B5,"")</x:f>
      </x:c>
      <x:c r="G8" t="str">
        <x:f>IFERROR('今日の改善'!C5,"")</x:f>
      </x:c>
      <x:c r="H8" t="str">
        <x:f>IFERROR('今日の改善'!F5,"")</x:f>
        <x:v>未着手</x:v>
      </x:c>
    </x:row>
    <x:row r="9">
      <x:c r="A9" t="str">
        <x:v>最終取得</x:v>
      </x:c>
      <x:c r="B9" t="n">
        <x:f>IFERROR(MAX('処理ログ'!A2:A200),"未実行")</x:f>
        <x:v>0</x:v>
      </x:c>
      <x:c r="C9" t="str">
        <x:v>Search Console</x:v>
      </x:c>
    </x:row>
    <x:row r="10">
      <x:c r="A10" t="str">
        <x:v>今日の改善残数</x:v>
      </x:c>
      <x:c r="B10" t="n">
        <x:v>2</x:v>
      </x:c>
      <x:c r="C10" t="str">
        <x:v>初期2件・最大6件</x:v>
      </x:c>
    </x:row>
    <x:row r="11">
      <x:c r="A11" t="str">
        <x:v>測定対象</x:v>
      </x:c>
      <x:c r="B11" t="n">
        <x:v>0</x:v>
      </x:c>
      <x:c r="C11" t="str">
        <x:v>7日・14日・21日・28日</x:v>
      </x:c>
    </x:row>
    <x:row r="12">
      <x:c r="A12" t="str">
        <x:v>最終ログ</x:v>
      </x:c>
      <x:c r="B12" t="str">
        <x:f>IFERROR(INDEX('処理ログ'!B2:B200,COUNTA('処理ログ'!B2:B200)),"なし")</x:f>
      </x:c>
      <x:c r="C12" t="str"/>
    </x:row>
  </x:sheetData>
  <x:mergeCells>
    <x:mergeCell ref="A1:H1"/>
    <x:mergeCell ref="E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優先度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改善方針</x:v>
      </x:c>
      <x:c r="F1" s="40" t="str">
        <x:v>状態</x:v>
      </x:c>
      <x:c r="G1" s="40" t="str">
        <x:v>改善完了</x:v>
      </x:c>
      <x:c r="H1" s="40" t="str">
        <x:v>更新日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n">
        <x:f>'Home'!B5</x:f>
        <x:v>0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n">
        <x:f>'Home'!B6</x:f>
        <x:v>0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v>2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5.1.1</x:v>
      </x:c>
      <x:c r="C2" t="str">
        <x:v>UI/UX改訂版。既存データ互換。</x:v>
      </x:c>
      <x:c r="D2" t="str">
        <x:v>不可</x:v>
      </x:c>
    </x:row>
    <x:row r="3">
      <x:c r="A3" t="str">
        <x:v>Candidate Limit</x:v>
      </x:c>
      <x:c r="B3" t="n">
        <x:v>10</x:v>
      </x:c>
      <x:c r="C3" t="str">
        <x:v>改善候補は10件で停止</x:v>
      </x:c>
      <x:c r="D3" t="str">
        <x:v>不可</x:v>
      </x:c>
    </x:row>
    <x:row r="4">
      <x:c r="A4" t="str">
        <x:v>Today Limit</x:v>
      </x:c>
      <x:c r="B4" t="n">
        <x:v>2</x:v>
      </x:c>
      <x:c r="C4" t="str">
        <x:v>今日の改善は初期2件、最大6件</x:v>
      </x:c>
      <x:c r="D4" t="str">
        <x:v>不可</x:v>
      </x:c>
    </x:row>
    <x:row r="5">
      <x:c r="A5" t="str">
        <x:v>Measurement Weeks</x:v>
      </x:c>
      <x:c r="B5" t="n">
        <x:v>4</x:v>
      </x:c>
      <x:c r="C5" t="str">
        <x:v>7日・14日・21日・28日の4回測定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